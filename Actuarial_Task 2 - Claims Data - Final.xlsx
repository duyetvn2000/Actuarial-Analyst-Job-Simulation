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duyetnguyenvu/Downloads/"/>
    </mc:Choice>
  </mc:AlternateContent>
  <xr:revisionPtr revIDLastSave="0" documentId="8_{ECE44BA7-3029-104B-B2C6-5EABC057B232}" xr6:coauthVersionLast="47" xr6:coauthVersionMax="47" xr10:uidLastSave="{00000000-0000-0000-0000-000000000000}"/>
  <bookViews>
    <workbookView xWindow="14280" yWindow="980" windowWidth="21240" windowHeight="21100" activeTab="5" xr2:uid="{DBE5CE84-00A1-1C47-A184-6FDC23602198}"/>
  </bookViews>
  <sheets>
    <sheet name="Sheet1" sheetId="11" r:id="rId1"/>
    <sheet name="Claims Data" sheetId="1" r:id="rId2"/>
    <sheet name="Exploratory Template" sheetId="10" r:id="rId3"/>
    <sheet name="Pure Premium Work" sheetId="2" r:id="rId4"/>
    <sheet name="Stress Testing" sheetId="13" r:id="rId5"/>
    <sheet name="Report" sheetId="9" r:id="rId6"/>
  </sheets>
  <definedNames>
    <definedName name="_xlnm._FilterDatabase" localSheetId="1" hidden="1">'Claims Data'!$A$1:$S$101</definedName>
    <definedName name="_xlnm._FilterDatabase" localSheetId="3" hidden="1">'Pure Premium Work'!$N$49:$N$55</definedName>
    <definedName name="_xlnm._FilterDatabase" localSheetId="4" hidden="1">'Stress Testing'!$N$49:$N$55</definedName>
  </definedNames>
  <calcPr calcId="191029"/>
  <pivotCaches>
    <pivotCache cacheId="14" r:id="rId7"/>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1" i="13" l="1"/>
  <c r="I65" i="13"/>
  <c r="I64" i="13"/>
  <c r="H19" i="13" l="1"/>
  <c r="H20" i="13"/>
  <c r="H21" i="13"/>
  <c r="H22" i="13"/>
  <c r="H23" i="13"/>
  <c r="H18" i="13"/>
  <c r="B39" i="13"/>
  <c r="B47" i="13" s="1"/>
  <c r="G19" i="13"/>
  <c r="I19" i="13" s="1"/>
  <c r="I18" i="13"/>
  <c r="B16" i="13"/>
  <c r="B17" i="13" s="1"/>
  <c r="B18" i="13" s="1"/>
  <c r="B19" i="13" s="1"/>
  <c r="B20" i="13" s="1"/>
  <c r="C15" i="13"/>
  <c r="H10" i="13"/>
  <c r="E10" i="13"/>
  <c r="H9" i="13"/>
  <c r="E9" i="13"/>
  <c r="H8" i="13"/>
  <c r="E8" i="13"/>
  <c r="H7" i="13"/>
  <c r="G7" i="13"/>
  <c r="G8" i="13" s="1"/>
  <c r="E7" i="13"/>
  <c r="E6" i="13" s="1"/>
  <c r="E5" i="13" s="1"/>
  <c r="H6" i="13"/>
  <c r="G6" i="13"/>
  <c r="I6" i="13" s="1"/>
  <c r="J6" i="13" s="1"/>
  <c r="I32" i="13" s="1"/>
  <c r="I5" i="13"/>
  <c r="H5" i="13"/>
  <c r="G58" i="2"/>
  <c r="G52" i="2"/>
  <c r="B47" i="2"/>
  <c r="B39" i="2"/>
  <c r="G9" i="13" l="1"/>
  <c r="I8" i="13"/>
  <c r="J8" i="13" s="1"/>
  <c r="I34" i="13" s="1"/>
  <c r="G20" i="13"/>
  <c r="J5" i="13"/>
  <c r="I31" i="13" s="1"/>
  <c r="J18" i="13"/>
  <c r="H31" i="13" s="1"/>
  <c r="J31" i="13" s="1"/>
  <c r="I7" i="13"/>
  <c r="J7" i="13" s="1"/>
  <c r="I33" i="13" s="1"/>
  <c r="J19" i="13"/>
  <c r="H32" i="13" s="1"/>
  <c r="J32" i="13" s="1"/>
  <c r="H42" i="2"/>
  <c r="H41" i="2"/>
  <c r="G21" i="13" l="1"/>
  <c r="I20" i="13"/>
  <c r="I9" i="13"/>
  <c r="J9" i="13" s="1"/>
  <c r="I35" i="13" s="1"/>
  <c r="G10" i="13"/>
  <c r="I10" i="13" s="1"/>
  <c r="J10" i="13" s="1"/>
  <c r="I36" i="13" s="1"/>
  <c r="J32" i="2"/>
  <c r="J33" i="2"/>
  <c r="J34" i="2"/>
  <c r="J35" i="2"/>
  <c r="J36" i="2"/>
  <c r="J31" i="2"/>
  <c r="I32" i="2"/>
  <c r="I33" i="2"/>
  <c r="I34" i="2"/>
  <c r="I35" i="2"/>
  <c r="I36" i="2"/>
  <c r="J20" i="13" l="1"/>
  <c r="H33" i="13" s="1"/>
  <c r="J33" i="13" s="1"/>
  <c r="I21" i="13"/>
  <c r="J21" i="13"/>
  <c r="H34" i="13" s="1"/>
  <c r="J34" i="13" s="1"/>
  <c r="G22" i="13"/>
  <c r="I19" i="2"/>
  <c r="I20" i="2"/>
  <c r="I18" i="2"/>
  <c r="H19" i="2"/>
  <c r="J19" i="2" s="1"/>
  <c r="H32" i="2" s="1"/>
  <c r="H20" i="2"/>
  <c r="J20" i="2" s="1"/>
  <c r="H33" i="2" s="1"/>
  <c r="H21" i="2"/>
  <c r="H22" i="2"/>
  <c r="H18" i="2"/>
  <c r="J18" i="2" s="1"/>
  <c r="H31" i="2" s="1"/>
  <c r="G19" i="2"/>
  <c r="G20" i="2" s="1"/>
  <c r="G21" i="2" s="1"/>
  <c r="G22" i="2" s="1"/>
  <c r="G23" i="2" s="1"/>
  <c r="H23" i="2" s="1"/>
  <c r="G23" i="13" l="1"/>
  <c r="I22" i="13"/>
  <c r="J22" i="13"/>
  <c r="H35" i="13" s="1"/>
  <c r="J35" i="13" s="1"/>
  <c r="I23" i="2"/>
  <c r="J23" i="2" s="1"/>
  <c r="H36" i="2" s="1"/>
  <c r="I22" i="2"/>
  <c r="J22" i="2" s="1"/>
  <c r="H35" i="2" s="1"/>
  <c r="I21" i="2"/>
  <c r="J21" i="2" s="1"/>
  <c r="H34" i="2" s="1"/>
  <c r="I5" i="2"/>
  <c r="I23" i="13" l="1"/>
  <c r="C16" i="10"/>
  <c r="C13" i="10"/>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2" i="1"/>
  <c r="H6" i="2"/>
  <c r="H7" i="2"/>
  <c r="H8" i="2"/>
  <c r="H9" i="2"/>
  <c r="H10" i="2"/>
  <c r="B16" i="2"/>
  <c r="B17" i="2" s="1"/>
  <c r="B18" i="2" s="1"/>
  <c r="B19" i="2" s="1"/>
  <c r="B20" i="2" s="1"/>
  <c r="C15" i="2"/>
  <c r="H5" i="2" s="1"/>
  <c r="J5" i="2" s="1"/>
  <c r="I31" i="2" s="1"/>
  <c r="J23" i="13" l="1"/>
  <c r="H36" i="13" s="1"/>
  <c r="J36" i="13" s="1"/>
  <c r="H42" i="13"/>
  <c r="G52" i="13" s="1"/>
  <c r="S19" i="1"/>
  <c r="E10" i="2"/>
  <c r="E9" i="2" s="1"/>
  <c r="G58" i="13" l="1"/>
  <c r="H67" i="13" s="1"/>
  <c r="I66" i="13"/>
  <c r="S3" i="1"/>
  <c r="S4" i="1"/>
  <c r="S5" i="1"/>
  <c r="S6" i="1"/>
  <c r="S7" i="1"/>
  <c r="S8" i="1"/>
  <c r="S9" i="1"/>
  <c r="S10" i="1"/>
  <c r="S11" i="1"/>
  <c r="S12" i="1"/>
  <c r="S13" i="1"/>
  <c r="S14" i="1"/>
  <c r="S15" i="1"/>
  <c r="S16" i="1"/>
  <c r="S17" i="1"/>
  <c r="S18"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G6" i="2"/>
  <c r="I6" i="2" s="1"/>
  <c r="J6" i="2" s="1"/>
  <c r="E8"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R2" i="1" l="1"/>
  <c r="G7" i="2"/>
  <c r="I7" i="2" s="1"/>
  <c r="J7" i="2" s="1"/>
  <c r="E7" i="2"/>
  <c r="E6" i="2" s="1"/>
  <c r="E5" i="2" s="1"/>
  <c r="L2" i="1"/>
  <c r="R4" i="1"/>
  <c r="R5" i="1"/>
  <c r="R7" i="1"/>
  <c r="R10" i="1"/>
  <c r="R12" i="1"/>
  <c r="R13" i="1"/>
  <c r="R14" i="1"/>
  <c r="R15" i="1"/>
  <c r="R16" i="1"/>
  <c r="R17" i="1"/>
  <c r="R22" i="1"/>
  <c r="R24" i="1"/>
  <c r="R25" i="1"/>
  <c r="R26" i="1"/>
  <c r="R27" i="1"/>
  <c r="R28" i="1"/>
  <c r="R29" i="1"/>
  <c r="R34" i="1"/>
  <c r="R36" i="1"/>
  <c r="R37" i="1"/>
  <c r="R38" i="1"/>
  <c r="R39" i="1"/>
  <c r="R40" i="1"/>
  <c r="R41" i="1"/>
  <c r="R46" i="1"/>
  <c r="R48" i="1"/>
  <c r="R49" i="1"/>
  <c r="R50" i="1"/>
  <c r="R51" i="1"/>
  <c r="R52" i="1"/>
  <c r="R53" i="1"/>
  <c r="R58" i="1"/>
  <c r="R60" i="1"/>
  <c r="R61" i="1"/>
  <c r="R62" i="1"/>
  <c r="R63" i="1"/>
  <c r="R65" i="1"/>
  <c r="R70" i="1"/>
  <c r="R72" i="1"/>
  <c r="R73" i="1"/>
  <c r="R74" i="1"/>
  <c r="R75" i="1"/>
  <c r="R76" i="1"/>
  <c r="R77" i="1"/>
  <c r="R82" i="1"/>
  <c r="R84" i="1"/>
  <c r="R85" i="1"/>
  <c r="R86" i="1"/>
  <c r="R87" i="1"/>
  <c r="R89" i="1"/>
  <c r="R94" i="1"/>
  <c r="R96" i="1"/>
  <c r="R98" i="1"/>
  <c r="R99" i="1"/>
  <c r="R10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R3" i="1" l="1"/>
  <c r="G8" i="2"/>
  <c r="I8" i="2" s="1"/>
  <c r="J8" i="2" s="1"/>
  <c r="R90" i="1"/>
  <c r="R78" i="1"/>
  <c r="R66" i="1"/>
  <c r="R54" i="1"/>
  <c r="R42" i="1"/>
  <c r="R30" i="1"/>
  <c r="R18" i="1"/>
  <c r="R6" i="1"/>
  <c r="R92" i="1"/>
  <c r="R80" i="1"/>
  <c r="R68" i="1"/>
  <c r="R56" i="1"/>
  <c r="R44" i="1"/>
  <c r="R32" i="1"/>
  <c r="R20" i="1"/>
  <c r="R8" i="1"/>
  <c r="R91" i="1"/>
  <c r="R79" i="1"/>
  <c r="R67" i="1"/>
  <c r="R55" i="1"/>
  <c r="R43" i="1"/>
  <c r="R31" i="1"/>
  <c r="R19" i="1"/>
  <c r="R100" i="1"/>
  <c r="R88" i="1"/>
  <c r="R64" i="1"/>
  <c r="R97" i="1"/>
  <c r="R95" i="1"/>
  <c r="R83" i="1"/>
  <c r="R71" i="1"/>
  <c r="R59" i="1"/>
  <c r="R47" i="1"/>
  <c r="R35" i="1"/>
  <c r="R23" i="1"/>
  <c r="R11" i="1"/>
  <c r="R93" i="1"/>
  <c r="R81" i="1"/>
  <c r="R69" i="1"/>
  <c r="R57" i="1"/>
  <c r="R45" i="1"/>
  <c r="R33" i="1"/>
  <c r="R21" i="1"/>
  <c r="R9" i="1"/>
  <c r="G9" i="2" l="1"/>
  <c r="I9" i="2" s="1"/>
  <c r="J9" i="2" s="1"/>
  <c r="G10" i="2" l="1"/>
  <c r="I10" i="2" s="1"/>
  <c r="J10" i="2" s="1"/>
</calcChain>
</file>

<file path=xl/sharedStrings.xml><?xml version="1.0" encoding="utf-8"?>
<sst xmlns="http://schemas.openxmlformats.org/spreadsheetml/2006/main" count="865" uniqueCount="244">
  <si>
    <t>Date of Claim</t>
  </si>
  <si>
    <t>Type of Claim</t>
  </si>
  <si>
    <t>Claim Status</t>
  </si>
  <si>
    <t>Policy Limits ($)</t>
  </si>
  <si>
    <t>Deductible ($)</t>
  </si>
  <si>
    <t>Cause of Loss</t>
  </si>
  <si>
    <t>Location</t>
  </si>
  <si>
    <t>Insured Party</t>
  </si>
  <si>
    <t>Prior Claims History</t>
  </si>
  <si>
    <t>CLM-00001</t>
  </si>
  <si>
    <t>Collision Liability</t>
  </si>
  <si>
    <t>Closed</t>
  </si>
  <si>
    <t>Human Error</t>
  </si>
  <si>
    <t>Indian Ocean</t>
  </si>
  <si>
    <t>Company 9</t>
  </si>
  <si>
    <t>CLM-00002</t>
  </si>
  <si>
    <t>Cargo Liability</t>
  </si>
  <si>
    <t>Technical Failure</t>
  </si>
  <si>
    <t>Atlantic Ocean</t>
  </si>
  <si>
    <t>Company 4</t>
  </si>
  <si>
    <t>CLM-00003</t>
  </si>
  <si>
    <t>Damage to Other Vessels</t>
  </si>
  <si>
    <t>Criminal Activity</t>
  </si>
  <si>
    <t>Mediterranean Sea</t>
  </si>
  <si>
    <t>Company 2</t>
  </si>
  <si>
    <t>CLM-00004</t>
  </si>
  <si>
    <t>Environmental Pollution</t>
  </si>
  <si>
    <t>Open</t>
  </si>
  <si>
    <t>Natural Disaster</t>
  </si>
  <si>
    <t>Pacific Ocean</t>
  </si>
  <si>
    <t>Company 17</t>
  </si>
  <si>
    <t>CLM-00005</t>
  </si>
  <si>
    <t>Injury to Third Parties</t>
  </si>
  <si>
    <t>In Litigation</t>
  </si>
  <si>
    <t>Company 12</t>
  </si>
  <si>
    <t>CLM-00006</t>
  </si>
  <si>
    <t>Company 3</t>
  </si>
  <si>
    <t>CLM-00007</t>
  </si>
  <si>
    <t>North Sea</t>
  </si>
  <si>
    <t>Company 11</t>
  </si>
  <si>
    <t>CLM-00008</t>
  </si>
  <si>
    <t>Company 5</t>
  </si>
  <si>
    <t>CLM-00009</t>
  </si>
  <si>
    <t>Company 8</t>
  </si>
  <si>
    <t>CLM-00010</t>
  </si>
  <si>
    <t>Company 10</t>
  </si>
  <si>
    <t>CLM-00011</t>
  </si>
  <si>
    <t>Company 7</t>
  </si>
  <si>
    <t>CLM-00012</t>
  </si>
  <si>
    <t>Company 6</t>
  </si>
  <si>
    <t>CLM-00013</t>
  </si>
  <si>
    <t>Company 13</t>
  </si>
  <si>
    <t>CLM-00014</t>
  </si>
  <si>
    <t>Company 19</t>
  </si>
  <si>
    <t>CLM-00015</t>
  </si>
  <si>
    <t>Company 14</t>
  </si>
  <si>
    <t>CLM-00016</t>
  </si>
  <si>
    <t>Company 1</t>
  </si>
  <si>
    <t>CLM-00017</t>
  </si>
  <si>
    <t>Company 15</t>
  </si>
  <si>
    <t>CLM-00018</t>
  </si>
  <si>
    <t>CLM-00019</t>
  </si>
  <si>
    <t>CLM-00020</t>
  </si>
  <si>
    <t>CLM-00021</t>
  </si>
  <si>
    <t>CLM-00022</t>
  </si>
  <si>
    <t>Company 16</t>
  </si>
  <si>
    <t>CLM-00023</t>
  </si>
  <si>
    <t>CLM-00024</t>
  </si>
  <si>
    <t>CLM-00025</t>
  </si>
  <si>
    <t>CLM-00026</t>
  </si>
  <si>
    <t>CLM-00027</t>
  </si>
  <si>
    <t>CLM-00028</t>
  </si>
  <si>
    <t>Company 18</t>
  </si>
  <si>
    <t>CLM-00029</t>
  </si>
  <si>
    <t>CLM-00030</t>
  </si>
  <si>
    <t>CLM-00031</t>
  </si>
  <si>
    <t>Company 20</t>
  </si>
  <si>
    <t>CLM-00032</t>
  </si>
  <si>
    <t>CLM-00033</t>
  </si>
  <si>
    <t>CLM-00034</t>
  </si>
  <si>
    <t>CLM-00035</t>
  </si>
  <si>
    <t>Claim ID</t>
  </si>
  <si>
    <t>CLM-00036</t>
  </si>
  <si>
    <t>CLM-00037</t>
  </si>
  <si>
    <t>CLM-00038</t>
  </si>
  <si>
    <t>CLM-00039</t>
  </si>
  <si>
    <t>CLM-00040</t>
  </si>
  <si>
    <t>CLM-00041</t>
  </si>
  <si>
    <t>CLM-00042</t>
  </si>
  <si>
    <t>CLM-00043</t>
  </si>
  <si>
    <t>CLM-00044</t>
  </si>
  <si>
    <t>CLM-00045</t>
  </si>
  <si>
    <t>CLM-00046</t>
  </si>
  <si>
    <t>CLM-00047</t>
  </si>
  <si>
    <t>CLM-00048</t>
  </si>
  <si>
    <t>CLM-00049</t>
  </si>
  <si>
    <t>CLM-00050</t>
  </si>
  <si>
    <t>CLM-00051</t>
  </si>
  <si>
    <t>CLM-00052</t>
  </si>
  <si>
    <t>CLM-00053</t>
  </si>
  <si>
    <t>CLM-00054</t>
  </si>
  <si>
    <t>CLM-00055</t>
  </si>
  <si>
    <t>CLM-00056</t>
  </si>
  <si>
    <t>CLM-00057</t>
  </si>
  <si>
    <t>CLM-00058</t>
  </si>
  <si>
    <t>CLM-00059</t>
  </si>
  <si>
    <t>CLM-00060</t>
  </si>
  <si>
    <t>CLM-00061</t>
  </si>
  <si>
    <t>CLM-00062</t>
  </si>
  <si>
    <t>CLM-00063</t>
  </si>
  <si>
    <t>CLM-00064</t>
  </si>
  <si>
    <t>CLM-00065</t>
  </si>
  <si>
    <t>CLM-00066</t>
  </si>
  <si>
    <t>CLM-00067</t>
  </si>
  <si>
    <t>CLM-00068</t>
  </si>
  <si>
    <t>CLM-00069</t>
  </si>
  <si>
    <t>CLM-00070</t>
  </si>
  <si>
    <t>CLM-00071</t>
  </si>
  <si>
    <t>CLM-00072</t>
  </si>
  <si>
    <t>CLM-00073</t>
  </si>
  <si>
    <t>CLM-00074</t>
  </si>
  <si>
    <t>CLM-00075</t>
  </si>
  <si>
    <t>CLM-00076</t>
  </si>
  <si>
    <t>CLM-00077</t>
  </si>
  <si>
    <t>CLM-00078</t>
  </si>
  <si>
    <t>CLM-00079</t>
  </si>
  <si>
    <t>CLM-00080</t>
  </si>
  <si>
    <t>CLM-00081</t>
  </si>
  <si>
    <t>CLM-00082</t>
  </si>
  <si>
    <t>CLM-00083</t>
  </si>
  <si>
    <t>CLM-00084</t>
  </si>
  <si>
    <t>CLM-00085</t>
  </si>
  <si>
    <t>CLM-00086</t>
  </si>
  <si>
    <t>CLM-00087</t>
  </si>
  <si>
    <t>CLM-00088</t>
  </si>
  <si>
    <t>CLM-00089</t>
  </si>
  <si>
    <t>CLM-00090</t>
  </si>
  <si>
    <t>CLM-00091</t>
  </si>
  <si>
    <t>CLM-00092</t>
  </si>
  <si>
    <t>CLM-00093</t>
  </si>
  <si>
    <t>CLM-00094</t>
  </si>
  <si>
    <t>CLM-00095</t>
  </si>
  <si>
    <t>CLM-00096</t>
  </si>
  <si>
    <t>CLM-00097</t>
  </si>
  <si>
    <t>CLM-00098</t>
  </si>
  <si>
    <t>CLM-00099</t>
  </si>
  <si>
    <t>CLM-00100</t>
  </si>
  <si>
    <t>Inflation Index</t>
  </si>
  <si>
    <t>Inflation Indices (Assumed for the Purpose of This Exercise):</t>
  </si>
  <si>
    <t xml:space="preserve"> 1.08 (8% inflation)</t>
  </si>
  <si>
    <t xml:space="preserve"> 1.05 (5% inflation)</t>
  </si>
  <si>
    <t xml:space="preserve"> 1.04 (4% inflation)</t>
  </si>
  <si>
    <t xml:space="preserve"> 1.03 (3% inflation)</t>
  </si>
  <si>
    <t xml:space="preserve"> 1.02 (2% inflation)</t>
  </si>
  <si>
    <t>Average Claim Amount (Adjusted for Inflation)</t>
  </si>
  <si>
    <t>Average Claim Amount by Year (Adjusted for Inflation)</t>
  </si>
  <si>
    <t>Claim Type Summary</t>
  </si>
  <si>
    <t>Sum of Adjusted Settlement Amount</t>
  </si>
  <si>
    <t>Large Loss Event</t>
  </si>
  <si>
    <t>Return Period</t>
  </si>
  <si>
    <t>Large Loss Loading</t>
  </si>
  <si>
    <t>Sensitivity Analysis</t>
  </si>
  <si>
    <t>Gross Tonnage</t>
  </si>
  <si>
    <t>Claim Incurred ($)</t>
  </si>
  <si>
    <t>Total Risk Premium: Pure Premium with Large Loss Loading for Environmental Pollution Claims</t>
  </si>
  <si>
    <t>Total Risk Premium=Pure Premium+Large Loss Loading</t>
  </si>
  <si>
    <t>Final Premium</t>
  </si>
  <si>
    <t>Final Premium=Total Risk Premium×(1+Expense Loading)×(1+Profit Margin)</t>
  </si>
  <si>
    <t>2024 expected gross tonnage</t>
  </si>
  <si>
    <t>1.03 (3% expected over year)</t>
  </si>
  <si>
    <t>Year</t>
  </si>
  <si>
    <t>No of claims</t>
  </si>
  <si>
    <t>Average frequency per unit exposure</t>
  </si>
  <si>
    <t>Average severity per claim</t>
  </si>
  <si>
    <t>Loss cost</t>
  </si>
  <si>
    <t>Claim frequency per unit of gross tonnage</t>
  </si>
  <si>
    <t>Expected loss per unit of gross tonnage</t>
  </si>
  <si>
    <t>Gross tonnage for all exposure</t>
  </si>
  <si>
    <t>Given Assumptions</t>
  </si>
  <si>
    <t>Commission is 0%</t>
  </si>
  <si>
    <t>No adjustment is required for claims development patters</t>
  </si>
  <si>
    <t>Individual policies run from 1/1 - 31/12 each year</t>
  </si>
  <si>
    <t>Average Gross Claim Amount</t>
  </si>
  <si>
    <t>Add some useful charts</t>
  </si>
  <si>
    <t>Find the Final Premium. Assume a 10% profit margin and 30% expense loading</t>
  </si>
  <si>
    <t>Gross claim amount (HINT: Gross claim amount = Claim incurred + deductible)</t>
  </si>
  <si>
    <t>Gross inflation adjusted claim (HINT: Gross inflation adjusted claim = gross claim * inflation index)</t>
  </si>
  <si>
    <t>Net inflation adjusted claim  (HINT: Net inflation adjusted claim = Gross inflation adjusted claim - deductible)</t>
  </si>
  <si>
    <t>Capped net adjusted incurred claim (HINT: Capped net adjusted incurred claim = net inflation adjusted claim capped at policy limit)</t>
  </si>
  <si>
    <t>Attritional claim flag - (set equal to 1 if claim is less than 1m, otherwise 0)</t>
  </si>
  <si>
    <t>Net claims incurred by claim type</t>
  </si>
  <si>
    <t>Claim count by claim type</t>
  </si>
  <si>
    <t>Average claim cost by claim type (severity)</t>
  </si>
  <si>
    <t>Cause of loss Summary</t>
  </si>
  <si>
    <t>Net claims incurred by cause of loss</t>
  </si>
  <si>
    <t>Claim count by cause of loss</t>
  </si>
  <si>
    <t>Average claim cost by cause of loss (severity)</t>
  </si>
  <si>
    <t>Net claims incurred by loss location</t>
  </si>
  <si>
    <t>Loss location Summary</t>
  </si>
  <si>
    <t>Claim count by loss location</t>
  </si>
  <si>
    <t>Average claim cost by loss location (severity)</t>
  </si>
  <si>
    <t>HINT: Net incurred claims by year and claim type</t>
  </si>
  <si>
    <t>HINT: Count of claims by year and claim type</t>
  </si>
  <si>
    <t>(1 + annual inflation)</t>
  </si>
  <si>
    <t>Inflation index</t>
  </si>
  <si>
    <t>Exposure information for the account provided by client</t>
  </si>
  <si>
    <t xml:space="preserve">Gross tonnage </t>
  </si>
  <si>
    <t>2024 expected gross tonnage provided by client</t>
  </si>
  <si>
    <t>Deductibles in the upcoming policy period will be the same as deductible in prior policy periods.</t>
  </si>
  <si>
    <t>Assume a large loss is any loss &gt;$1m incurred</t>
  </si>
  <si>
    <t>Assume the large loss event is a 1-in-20 year event.</t>
  </si>
  <si>
    <t>Assume expenses are 30% of the loss cost.</t>
  </si>
  <si>
    <t>Assume a 10% profit requirement on this account in calculating the premium</t>
  </si>
  <si>
    <t>Claim severity analysis (average cost per claim)</t>
  </si>
  <si>
    <t>Claim frequency per gross tonnage</t>
  </si>
  <si>
    <t>Average cost per claim (Loss Severity)</t>
  </si>
  <si>
    <t>Loss cost calculation</t>
  </si>
  <si>
    <t>Use pivot tables to generate tables and check for trends</t>
  </si>
  <si>
    <r>
      <t xml:space="preserve">Derive an appropriate Return Period. </t>
    </r>
    <r>
      <rPr>
        <i/>
        <sz val="12"/>
        <color rgb="FF000000"/>
        <rFont val="Aptos Narrow"/>
        <family val="2"/>
        <scheme val="minor"/>
      </rPr>
      <t>(Consider the information provided in the "Given Assumptions")</t>
    </r>
    <r>
      <rPr>
        <sz val="12"/>
        <color rgb="FF000000"/>
        <rFont val="Aptos Narrow"/>
        <family val="2"/>
        <scheme val="minor"/>
      </rPr>
      <t>.</t>
    </r>
  </si>
  <si>
    <r>
      <t xml:space="preserve">Calculate the Large Loss Loading </t>
    </r>
    <r>
      <rPr>
        <i/>
        <sz val="12"/>
        <color rgb="FF000000"/>
        <rFont val="Aptos Narrow"/>
        <family val="2"/>
        <scheme val="minor"/>
      </rPr>
      <t>(Divide the large loss claim cost by the return period)</t>
    </r>
    <r>
      <rPr>
        <sz val="12"/>
        <color rgb="FF000000"/>
        <rFont val="Aptos Narrow"/>
        <family val="2"/>
        <scheme val="minor"/>
      </rPr>
      <t>.</t>
    </r>
  </si>
  <si>
    <t>Identify the Large Loss Event adjusted for inflation.</t>
  </si>
  <si>
    <r>
      <t xml:space="preserve">Calculate the Loss Frequency using a pivot table, make sure to remove the large loss event. 
</t>
    </r>
    <r>
      <rPr>
        <i/>
        <sz val="12"/>
        <color rgb="FF000000"/>
        <rFont val="Aptos Narrow"/>
        <family val="2"/>
        <scheme val="minor"/>
      </rPr>
      <t>Claim frequency = Number of Claims/Gross Tonnage for all exposure.</t>
    </r>
    <r>
      <rPr>
        <sz val="12"/>
        <color rgb="FF000000"/>
        <rFont val="Aptos Narrow"/>
        <family val="2"/>
        <scheme val="minor"/>
      </rPr>
      <t xml:space="preserve">
</t>
    </r>
  </si>
  <si>
    <r>
      <t xml:space="preserve">Calculate the Average cost per claim (Loss Severity) using a pivot table, make sure to remove the large loss event. Instructions: Create a pivot table with Year,  Sum of Capped net inflation adjusted incurred claim and Count of Claim ID. 
</t>
    </r>
    <r>
      <rPr>
        <i/>
        <sz val="12"/>
        <color rgb="FF000000"/>
        <rFont val="Aptos Narrow"/>
        <family val="2"/>
        <scheme val="minor"/>
      </rPr>
      <t>Loss Severity= Sum of Capped net inflation adjusted incurred claim / Count of Claim ID for each year</t>
    </r>
    <r>
      <rPr>
        <sz val="12"/>
        <color rgb="FF000000"/>
        <rFont val="Aptos Narrow"/>
        <family val="2"/>
        <scheme val="minor"/>
      </rPr>
      <t>.</t>
    </r>
  </si>
  <si>
    <r>
      <t xml:space="preserve">Complete the table below using the values derived in steps 1 and 2. </t>
    </r>
    <r>
      <rPr>
        <i/>
        <sz val="12"/>
        <color rgb="FF000000"/>
        <rFont val="Aptos Narrow"/>
        <family val="2"/>
        <scheme val="minor"/>
      </rPr>
      <t>HINT: Expected loss is the product of claim frequency and average claim severity</t>
    </r>
    <r>
      <rPr>
        <sz val="12"/>
        <color rgb="FF000000"/>
        <rFont val="Aptos Narrow"/>
        <family val="2"/>
        <scheme val="minor"/>
      </rPr>
      <t>.</t>
    </r>
  </si>
  <si>
    <t>Scenario: 6% increase in average loss severity</t>
  </si>
  <si>
    <t>New risk premium following 6% increase in claim severity</t>
  </si>
  <si>
    <t>New final premium</t>
  </si>
  <si>
    <t>New Loss Severity</t>
  </si>
  <si>
    <t>Calculate the following using the values derived in step 3.</t>
  </si>
  <si>
    <r>
      <t xml:space="preserve">Calculate the  Total Risk Premium. 
</t>
    </r>
    <r>
      <rPr>
        <i/>
        <sz val="12"/>
        <color theme="1"/>
        <rFont val="Aptos Narrow"/>
        <family val="2"/>
        <scheme val="minor"/>
      </rPr>
      <t>Pure Premium = Average Frequency per unit of exposure * Average Severity per Claim * Expected Gross Tonnage</t>
    </r>
  </si>
  <si>
    <r>
      <t xml:space="preserve">Conduct a Sensitivity Analysis for a scenario of a 6% increase in loss severity and calculate the new final premium based on the increased severity. </t>
    </r>
    <r>
      <rPr>
        <i/>
        <sz val="12"/>
        <color rgb="FF000000"/>
        <rFont val="Aptos Narrow"/>
        <family val="2"/>
        <scheme val="minor"/>
      </rPr>
      <t>Increase the loss severity by 6% then follow the same calculation used in steps 9 and 10 to derive the revised final premium.</t>
    </r>
  </si>
  <si>
    <t>Row Labels</t>
  </si>
  <si>
    <t>Grand Total</t>
  </si>
  <si>
    <t>Average of Gross inflation adjusted claim (HINT: Gross inflation adjusted claim = gross claim * inflation index)</t>
  </si>
  <si>
    <t>Sum of Net inflation adjusted claim  (HINT: Net inflation adjusted claim = Gross inflation adjusted claim - deductible)</t>
  </si>
  <si>
    <t>Column Labels</t>
  </si>
  <si>
    <t>Count of Type of Claim</t>
  </si>
  <si>
    <t>Average of Net inflation adjusted claim  (HINT: Net inflation adjusted claim = Gross inflation adjusted claim - deductible)</t>
  </si>
  <si>
    <t>Count of Cause of Loss</t>
  </si>
  <si>
    <t>Count of Location</t>
  </si>
  <si>
    <t>Sum of Capped net adjusted incurred claim (HINT: Capped net adjusted incurred claim = net inflation adjusted claim capped at policy limit)</t>
  </si>
  <si>
    <t>Count of Capped net adjusted incurred claim (HINT: Capped net adjusted incurred claim = net inflation adjusted claim capped at policy limit)2</t>
  </si>
  <si>
    <t xml:space="preserve">Sum of Capped net inflation adjusted incurred claim </t>
  </si>
  <si>
    <t>Loss Severity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</si>
</sst>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44" formatCode="_(&quot;$&quot;* #,##0.00_);_(&quot;$&quot;* \(#,##0.00\);_(&quot;$&quot;* &quot;-&quot;??_);_(@_)"/>
    <numFmt numFmtId="164" formatCode="_-* #,##0.00_-;\-* #,##0.00_-;_-* &quot;-&quot;??_-;_-@_-"/>
    <numFmt numFmtId="165" formatCode="&quot;$&quot;#,##0.00"/>
    <numFmt numFmtId="166" formatCode="_-* #,##0.0_-;\-* #,##0.0_-;_-* &quot;-&quot;??_-;_-@_-"/>
    <numFmt numFmtId="167" formatCode="_-* #,##0_-;\-* #,##0_-;_-* &quot;-&quot;??_-;_-@_-"/>
    <numFmt numFmtId="168" formatCode="_-* #,##0.000000000_-;\-* #,##0.000000000_-;_-* &quot;-&quot;??_-;_-@_-"/>
    <numFmt numFmtId="169" formatCode="[$$-409]#,##0"/>
    <numFmt numFmtId="170" formatCode="0.000000000"/>
    <numFmt numFmtId="171" formatCode="0.00000000000_);\(0.00000000000\)"/>
  </numFmts>
  <fonts count="12" x14ac:knownFonts="1">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family val="2"/>
      <scheme val="minor"/>
    </font>
    <font>
      <b/>
      <sz val="13.5"/>
      <color theme="1"/>
      <name val="Aptos Narrow"/>
      <family val="2"/>
      <scheme val="minor"/>
    </font>
    <font>
      <sz val="12"/>
      <name val="Aptos Narrow"/>
      <family val="2"/>
      <scheme val="minor"/>
    </font>
    <font>
      <b/>
      <sz val="12"/>
      <color theme="1"/>
      <name val="Aptos Narrow"/>
      <family val="2"/>
      <scheme val="minor"/>
    </font>
    <font>
      <sz val="12"/>
      <color rgb="FF000000"/>
      <name val="Aptos Narrow"/>
      <family val="2"/>
      <scheme val="minor"/>
    </font>
    <font>
      <b/>
      <sz val="16"/>
      <color theme="1"/>
      <name val="Aptos Narrow"/>
      <family val="2"/>
      <scheme val="minor"/>
    </font>
    <font>
      <i/>
      <sz val="12"/>
      <color theme="1"/>
      <name val="Aptos Narrow"/>
      <family val="2"/>
      <scheme val="minor"/>
    </font>
    <font>
      <i/>
      <sz val="12"/>
      <color rgb="FF000000"/>
      <name val="Aptos Narrow"/>
      <family val="2"/>
      <scheme val="minor"/>
    </font>
    <font>
      <b/>
      <sz val="12"/>
      <color rgb="FF000000"/>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7C7AC"/>
        <bgColor rgb="FF000000"/>
      </patternFill>
    </fill>
    <fill>
      <patternFill patternType="solid">
        <fgColor theme="0" tint="-4.9989318521683403E-2"/>
        <bgColor indexed="64"/>
      </patternFill>
    </fill>
    <fill>
      <patternFill patternType="solid">
        <fgColor theme="2"/>
        <bgColor indexed="64"/>
      </patternFill>
    </fill>
    <fill>
      <patternFill patternType="solid">
        <fgColor theme="7" tint="0.79998168889431442"/>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105">
    <xf numFmtId="0" fontId="0" fillId="0" borderId="0" xfId="0"/>
    <xf numFmtId="14" fontId="0" fillId="0" borderId="0" xfId="0" applyNumberFormat="1"/>
    <xf numFmtId="0" fontId="2" fillId="0" borderId="0" xfId="0" applyFont="1"/>
    <xf numFmtId="44" fontId="0" fillId="0" borderId="0" xfId="1" applyFont="1"/>
    <xf numFmtId="0" fontId="4" fillId="0" borderId="0" xfId="0" applyFont="1"/>
    <xf numFmtId="0" fontId="3" fillId="0" borderId="0" xfId="0" applyFont="1"/>
    <xf numFmtId="0" fontId="0" fillId="0" borderId="0" xfId="0" applyAlignment="1">
      <alignment horizontal="left"/>
    </xf>
    <xf numFmtId="165" fontId="0" fillId="0" borderId="0" xfId="0" applyNumberFormat="1"/>
    <xf numFmtId="165" fontId="2" fillId="0" borderId="0" xfId="0" applyNumberFormat="1" applyFont="1"/>
    <xf numFmtId="164" fontId="0" fillId="0" borderId="0" xfId="2" applyFont="1"/>
    <xf numFmtId="167" fontId="0" fillId="0" borderId="0" xfId="2" applyNumberFormat="1" applyFont="1"/>
    <xf numFmtId="164" fontId="0" fillId="0" borderId="0" xfId="0" applyNumberFormat="1"/>
    <xf numFmtId="169" fontId="0" fillId="0" borderId="0" xfId="3" applyNumberFormat="1" applyFont="1" applyFill="1"/>
    <xf numFmtId="170" fontId="0" fillId="0" borderId="0" xfId="0" applyNumberFormat="1"/>
    <xf numFmtId="169" fontId="0" fillId="0" borderId="0" xfId="0" applyNumberFormat="1" applyAlignment="1">
      <alignment horizontal="left"/>
    </xf>
    <xf numFmtId="168" fontId="0" fillId="0" borderId="0" xfId="0" applyNumberFormat="1" applyAlignment="1">
      <alignment horizontal="left"/>
    </xf>
    <xf numFmtId="164" fontId="0" fillId="0" borderId="0" xfId="2" applyFont="1" applyAlignment="1">
      <alignment horizontal="left"/>
    </xf>
    <xf numFmtId="166" fontId="5" fillId="0" borderId="0" xfId="2" applyNumberFormat="1" applyFont="1" applyFill="1"/>
    <xf numFmtId="0" fontId="2" fillId="0" borderId="0" xfId="0" applyFont="1" applyAlignment="1">
      <alignment horizontal="left"/>
    </xf>
    <xf numFmtId="165" fontId="2" fillId="0" borderId="0" xfId="0" applyNumberFormat="1" applyFont="1" applyAlignment="1">
      <alignment horizontal="left"/>
    </xf>
    <xf numFmtId="0" fontId="6" fillId="0" borderId="0" xfId="0" applyFont="1"/>
    <xf numFmtId="44" fontId="6" fillId="0" borderId="0" xfId="1" applyFont="1"/>
    <xf numFmtId="0" fontId="6" fillId="0" borderId="0" xfId="0" applyFont="1" applyAlignment="1">
      <alignment horizontal="left"/>
    </xf>
    <xf numFmtId="0" fontId="0" fillId="3" borderId="0" xfId="0" applyFill="1"/>
    <xf numFmtId="0" fontId="6" fillId="3" borderId="0" xfId="0" applyFont="1" applyFill="1"/>
    <xf numFmtId="44" fontId="6" fillId="0" borderId="0" xfId="1" applyFont="1" applyFill="1"/>
    <xf numFmtId="0" fontId="7" fillId="5" borderId="0" xfId="0" applyFont="1" applyFill="1"/>
    <xf numFmtId="44" fontId="0" fillId="6" borderId="0" xfId="1" applyFont="1" applyFill="1"/>
    <xf numFmtId="44" fontId="0" fillId="7" borderId="0" xfId="1" applyFont="1" applyFill="1"/>
    <xf numFmtId="0" fontId="0" fillId="7" borderId="0" xfId="0" applyFill="1"/>
    <xf numFmtId="44" fontId="0" fillId="7" borderId="0" xfId="0" applyNumberFormat="1" applyFill="1"/>
    <xf numFmtId="0" fontId="7" fillId="5" borderId="0" xfId="0" applyFont="1" applyFill="1" applyAlignment="1">
      <alignment horizontal="center"/>
    </xf>
    <xf numFmtId="0" fontId="0" fillId="0" borderId="2" xfId="0" applyBorder="1"/>
    <xf numFmtId="164" fontId="0" fillId="0" borderId="2" xfId="2" applyFont="1" applyBorder="1" applyAlignment="1">
      <alignment horizontal="right"/>
    </xf>
    <xf numFmtId="0" fontId="0" fillId="2" borderId="3" xfId="0" applyFill="1" applyBorder="1"/>
    <xf numFmtId="0" fontId="0" fillId="2" borderId="5" xfId="0" applyFill="1" applyBorder="1"/>
    <xf numFmtId="0" fontId="0" fillId="0" borderId="7" xfId="0" applyBorder="1"/>
    <xf numFmtId="0" fontId="0" fillId="2" borderId="8" xfId="0" applyFill="1" applyBorder="1"/>
    <xf numFmtId="0" fontId="8" fillId="0" borderId="0" xfId="0" applyFont="1" applyAlignment="1">
      <alignment horizontal="left"/>
    </xf>
    <xf numFmtId="44" fontId="0" fillId="6" borderId="0" xfId="0" applyNumberFormat="1" applyFill="1"/>
    <xf numFmtId="0" fontId="0" fillId="6" borderId="0" xfId="0" applyFill="1"/>
    <xf numFmtId="44" fontId="6" fillId="6" borderId="0" xfId="1" applyFont="1" applyFill="1"/>
    <xf numFmtId="0" fontId="2" fillId="3" borderId="0" xfId="0" applyFont="1" applyFill="1"/>
    <xf numFmtId="0" fontId="2" fillId="8" borderId="0" xfId="0" applyFont="1" applyFill="1"/>
    <xf numFmtId="0" fontId="3" fillId="0" borderId="1" xfId="0" applyFont="1" applyBorder="1"/>
    <xf numFmtId="0" fontId="3" fillId="0" borderId="4" xfId="0" applyFont="1" applyBorder="1"/>
    <xf numFmtId="0" fontId="3" fillId="0" borderId="6" xfId="0" applyFont="1" applyBorder="1"/>
    <xf numFmtId="0" fontId="2" fillId="0" borderId="9" xfId="0" applyFont="1" applyBorder="1"/>
    <xf numFmtId="0" fontId="2" fillId="0" borderId="10" xfId="0" applyFont="1" applyBorder="1"/>
    <xf numFmtId="0" fontId="2" fillId="0" borderId="1" xfId="0" applyFont="1" applyBorder="1" applyAlignment="1">
      <alignment horizontal="left"/>
    </xf>
    <xf numFmtId="0" fontId="2" fillId="0" borderId="3" xfId="0" applyFont="1" applyBorder="1"/>
    <xf numFmtId="0" fontId="2" fillId="0" borderId="4" xfId="0" applyFont="1" applyBorder="1" applyAlignment="1">
      <alignment horizontal="left"/>
    </xf>
    <xf numFmtId="167" fontId="0" fillId="0" borderId="5" xfId="2" applyNumberFormat="1" applyFont="1" applyBorder="1"/>
    <xf numFmtId="0" fontId="2" fillId="0" borderId="6" xfId="0" applyFont="1" applyBorder="1" applyAlignment="1">
      <alignment horizontal="left"/>
    </xf>
    <xf numFmtId="167" fontId="0" fillId="0" borderId="8" xfId="2" applyNumberFormat="1" applyFont="1" applyBorder="1"/>
    <xf numFmtId="167" fontId="0" fillId="0" borderId="0" xfId="2" applyNumberFormat="1" applyFont="1" applyBorder="1"/>
    <xf numFmtId="0" fontId="2" fillId="0" borderId="9" xfId="0" applyFont="1" applyBorder="1" applyAlignment="1">
      <alignment horizontal="left"/>
    </xf>
    <xf numFmtId="164" fontId="0" fillId="0" borderId="10" xfId="2" applyFont="1" applyBorder="1" applyAlignment="1">
      <alignment horizontal="left"/>
    </xf>
    <xf numFmtId="0" fontId="0" fillId="0" borderId="3" xfId="0" applyBorder="1"/>
    <xf numFmtId="0" fontId="0" fillId="0" borderId="4" xfId="0" applyBorder="1" applyAlignment="1">
      <alignment horizontal="left"/>
    </xf>
    <xf numFmtId="0" fontId="0" fillId="0" borderId="6" xfId="0" applyBorder="1" applyAlignment="1">
      <alignment horizontal="left"/>
    </xf>
    <xf numFmtId="167" fontId="0" fillId="0" borderId="7" xfId="2" applyNumberFormat="1" applyFont="1" applyBorder="1"/>
    <xf numFmtId="0" fontId="0" fillId="6" borderId="0" xfId="0" applyFill="1" applyAlignment="1">
      <alignment horizontal="left"/>
    </xf>
    <xf numFmtId="0" fontId="2" fillId="0" borderId="2" xfId="0" applyFont="1" applyBorder="1"/>
    <xf numFmtId="0" fontId="6" fillId="0" borderId="3" xfId="0" applyFont="1" applyBorder="1" applyAlignment="1">
      <alignment horizontal="left"/>
    </xf>
    <xf numFmtId="169" fontId="0" fillId="6" borderId="0" xfId="0" applyNumberFormat="1" applyFill="1" applyAlignment="1">
      <alignment horizontal="left"/>
    </xf>
    <xf numFmtId="168" fontId="0" fillId="6" borderId="0" xfId="0" applyNumberFormat="1" applyFill="1" applyAlignment="1">
      <alignment horizontal="left"/>
    </xf>
    <xf numFmtId="165" fontId="0" fillId="6" borderId="5" xfId="0" applyNumberFormat="1" applyFill="1" applyBorder="1"/>
    <xf numFmtId="168" fontId="0" fillId="6" borderId="0" xfId="0" applyNumberFormat="1" applyFill="1" applyAlignment="1">
      <alignment horizontal="right"/>
    </xf>
    <xf numFmtId="169" fontId="0" fillId="6" borderId="0" xfId="0" applyNumberFormat="1" applyFill="1" applyAlignment="1">
      <alignment horizontal="right"/>
    </xf>
    <xf numFmtId="0" fontId="7" fillId="0" borderId="0" xfId="0" applyFont="1"/>
    <xf numFmtId="0" fontId="7" fillId="0" borderId="0" xfId="0" applyFont="1" applyAlignment="1">
      <alignment horizontal="left"/>
    </xf>
    <xf numFmtId="165" fontId="2" fillId="6" borderId="0" xfId="0" applyNumberFormat="1" applyFont="1" applyFill="1" applyAlignment="1">
      <alignment horizontal="left"/>
    </xf>
    <xf numFmtId="165" fontId="6" fillId="6" borderId="0" xfId="0" applyNumberFormat="1" applyFont="1" applyFill="1" applyAlignment="1">
      <alignment horizontal="left"/>
    </xf>
    <xf numFmtId="0" fontId="11" fillId="5" borderId="0" xfId="0" applyFont="1" applyFill="1" applyAlignment="1">
      <alignment horizontal="center"/>
    </xf>
    <xf numFmtId="165" fontId="2" fillId="6" borderId="0" xfId="0" applyNumberFormat="1" applyFont="1" applyFill="1"/>
    <xf numFmtId="165" fontId="0" fillId="6" borderId="0" xfId="0" applyNumberFormat="1" applyFill="1"/>
    <xf numFmtId="0" fontId="2" fillId="0" borderId="0" xfId="0" applyFont="1" applyAlignment="1">
      <alignment wrapText="1"/>
    </xf>
    <xf numFmtId="44" fontId="2" fillId="0" borderId="0" xfId="1" applyFont="1" applyAlignment="1">
      <alignment wrapText="1"/>
    </xf>
    <xf numFmtId="44" fontId="2" fillId="6" borderId="0" xfId="1" applyFont="1" applyFill="1" applyAlignment="1">
      <alignment wrapText="1"/>
    </xf>
    <xf numFmtId="44" fontId="2" fillId="7" borderId="0" xfId="1" applyFont="1" applyFill="1" applyAlignment="1">
      <alignment wrapText="1"/>
    </xf>
    <xf numFmtId="0" fontId="2" fillId="7" borderId="0" xfId="0" applyFont="1" applyFill="1" applyAlignment="1">
      <alignment wrapText="1"/>
    </xf>
    <xf numFmtId="44" fontId="2" fillId="0" borderId="0" xfId="1" applyFont="1" applyFill="1" applyAlignment="1">
      <alignment wrapText="1"/>
    </xf>
    <xf numFmtId="6" fontId="3" fillId="0" borderId="0" xfId="0" applyNumberFormat="1" applyFont="1"/>
    <xf numFmtId="44" fontId="0" fillId="0" borderId="0" xfId="1" applyFont="1" applyFill="1"/>
    <xf numFmtId="0" fontId="0" fillId="3" borderId="0" xfId="0" applyFill="1" applyAlignment="1">
      <alignment horizontal="center"/>
    </xf>
    <xf numFmtId="0" fontId="7" fillId="5" borderId="0" xfId="0" applyFont="1" applyFill="1" applyAlignment="1">
      <alignment horizontal="left"/>
    </xf>
    <xf numFmtId="0" fontId="2" fillId="4" borderId="0" xfId="0" applyFont="1" applyFill="1" applyAlignment="1">
      <alignment horizontal="center" vertical="center"/>
    </xf>
    <xf numFmtId="0" fontId="0" fillId="4" borderId="0" xfId="0" applyFill="1" applyAlignment="1">
      <alignment horizontal="left" vertical="top" wrapText="1"/>
    </xf>
    <xf numFmtId="0" fontId="11" fillId="5" borderId="0" xfId="0" applyFont="1" applyFill="1" applyAlignment="1">
      <alignment horizontal="center" vertical="center"/>
    </xf>
    <xf numFmtId="0" fontId="7" fillId="5" borderId="0" xfId="0" applyFont="1" applyFill="1" applyAlignment="1">
      <alignment horizontal="center" wrapText="1"/>
    </xf>
    <xf numFmtId="0" fontId="7" fillId="5" borderId="0" xfId="0" applyFont="1" applyFill="1" applyAlignment="1">
      <alignment horizontal="center" vertical="center"/>
    </xf>
    <xf numFmtId="0" fontId="7" fillId="5" borderId="0" xfId="0" applyFont="1" applyFill="1" applyAlignment="1">
      <alignment horizontal="left" vertical="top" wrapText="1"/>
    </xf>
    <xf numFmtId="0" fontId="7" fillId="5" borderId="7" xfId="0" applyFont="1" applyFill="1" applyBorder="1" applyAlignment="1">
      <alignment horizontal="center" vertical="center"/>
    </xf>
    <xf numFmtId="0" fontId="7" fillId="5" borderId="0" xfId="0" applyFont="1" applyFill="1" applyAlignment="1">
      <alignment horizontal="left" vertical="center" wrapText="1"/>
    </xf>
    <xf numFmtId="0" fontId="0" fillId="0" borderId="0" xfId="0"/>
    <xf numFmtId="44" fontId="0" fillId="0" borderId="0" xfId="0" applyNumberFormat="1"/>
    <xf numFmtId="0" fontId="0" fillId="0" borderId="0" xfId="0" pivotButton="1"/>
    <xf numFmtId="0" fontId="0" fillId="0" borderId="0" xfId="0" applyNumberFormat="1"/>
    <xf numFmtId="39" fontId="0" fillId="0" borderId="0" xfId="0" applyNumberFormat="1"/>
    <xf numFmtId="171" fontId="0" fillId="0" borderId="5" xfId="2" applyNumberFormat="1" applyFont="1" applyBorder="1"/>
    <xf numFmtId="3" fontId="0" fillId="0" borderId="5" xfId="2" applyNumberFormat="1" applyFont="1" applyBorder="1"/>
    <xf numFmtId="44" fontId="3" fillId="6" borderId="0" xfId="0" applyNumberFormat="1" applyFont="1" applyFill="1"/>
    <xf numFmtId="169" fontId="0" fillId="0" borderId="0" xfId="0" applyNumberFormat="1"/>
    <xf numFmtId="168" fontId="0" fillId="0" borderId="0" xfId="0" applyNumberFormat="1"/>
  </cellXfs>
  <cellStyles count="4">
    <cellStyle name="Comma" xfId="2" builtinId="3"/>
    <cellStyle name="Currency" xfId="1" builtinId="4"/>
    <cellStyle name="Normal" xfId="0" builtinId="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[Actuarial_Task 2 - Claims Data - Final.xlsx]Exploratory Template!PivotTable5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Net Incurred claims by year and claim type</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Template'!$D$32:$D$33</c:f>
              <c:strCache>
                <c:ptCount val="1"/>
                <c:pt idx="0">
                  <c:v>Cargo Liability</c:v>
                </c:pt>
              </c:strCache>
            </c:strRef>
          </c:tx>
          <c:spPr>
            <a:solidFill>
              <a:schemeClr val="accent1"/>
            </a:solidFill>
            <a:ln>
              <a:noFill/>
            </a:ln>
            <a:effectLst/>
          </c:spPr>
          <c:invertIfNegative val="0"/>
          <c:cat>
            <c:strRef>
              <c:f>'Exploratory Template'!$C$34:$C$40</c:f>
              <c:strCache>
                <c:ptCount val="6"/>
                <c:pt idx="0">
                  <c:v>2018</c:v>
                </c:pt>
                <c:pt idx="1">
                  <c:v>2019</c:v>
                </c:pt>
                <c:pt idx="2">
                  <c:v>2020</c:v>
                </c:pt>
                <c:pt idx="3">
                  <c:v>2021</c:v>
                </c:pt>
                <c:pt idx="4">
                  <c:v>2022</c:v>
                </c:pt>
                <c:pt idx="5">
                  <c:v>2023</c:v>
                </c:pt>
              </c:strCache>
            </c:strRef>
          </c:cat>
          <c:val>
            <c:numRef>
              <c:f>'Exploratory Template'!$D$34:$D$40</c:f>
              <c:numCache>
                <c:formatCode>_("$"* #,##0.00_);_("$"* \(#,##0.00\);_("$"* "-"??_);_(@_)</c:formatCode>
                <c:ptCount val="6"/>
                <c:pt idx="0">
                  <c:v>697368.0207472234</c:v>
                </c:pt>
                <c:pt idx="1">
                  <c:v>662834.33499735559</c:v>
                </c:pt>
                <c:pt idx="2">
                  <c:v>3570921.3315225951</c:v>
                </c:pt>
                <c:pt idx="3">
                  <c:v>1781773.1680748803</c:v>
                </c:pt>
                <c:pt idx="4">
                  <c:v>2937526.7408780004</c:v>
                </c:pt>
                <c:pt idx="5">
                  <c:v>1570662.8665999998</c:v>
                </c:pt>
              </c:numCache>
            </c:numRef>
          </c:val>
          <c:extLst>
            <c:ext xmlns:c16="http://schemas.microsoft.com/office/drawing/2014/chart" uri="{C3380CC4-5D6E-409C-BE32-E72D297353CC}">
              <c16:uniqueId val="{00000000-D88F-C147-9E56-762FD036E465}"/>
            </c:ext>
          </c:extLst>
        </c:ser>
        <c:ser>
          <c:idx val="1"/>
          <c:order val="1"/>
          <c:tx>
            <c:strRef>
              <c:f>'Exploratory Template'!$E$32:$E$33</c:f>
              <c:strCache>
                <c:ptCount val="1"/>
                <c:pt idx="0">
                  <c:v>Collision Liability</c:v>
                </c:pt>
              </c:strCache>
            </c:strRef>
          </c:tx>
          <c:spPr>
            <a:solidFill>
              <a:schemeClr val="accent2"/>
            </a:solidFill>
            <a:ln>
              <a:noFill/>
            </a:ln>
            <a:effectLst/>
          </c:spPr>
          <c:invertIfNegative val="0"/>
          <c:cat>
            <c:strRef>
              <c:f>'Exploratory Template'!$C$34:$C$40</c:f>
              <c:strCache>
                <c:ptCount val="6"/>
                <c:pt idx="0">
                  <c:v>2018</c:v>
                </c:pt>
                <c:pt idx="1">
                  <c:v>2019</c:v>
                </c:pt>
                <c:pt idx="2">
                  <c:v>2020</c:v>
                </c:pt>
                <c:pt idx="3">
                  <c:v>2021</c:v>
                </c:pt>
                <c:pt idx="4">
                  <c:v>2022</c:v>
                </c:pt>
                <c:pt idx="5">
                  <c:v>2023</c:v>
                </c:pt>
              </c:strCache>
            </c:strRef>
          </c:cat>
          <c:val>
            <c:numRef>
              <c:f>'Exploratory Template'!$E$34:$E$40</c:f>
              <c:numCache>
                <c:formatCode>_("$"* #,##0.00_);_("$"* \(#,##0.00\);_("$"* "-"??_);_(@_)</c:formatCode>
                <c:ptCount val="6"/>
                <c:pt idx="0">
                  <c:v>2405966.0874662898</c:v>
                </c:pt>
                <c:pt idx="1">
                  <c:v>3253999.8527008849</c:v>
                </c:pt>
                <c:pt idx="3">
                  <c:v>4027741.5256802402</c:v>
                </c:pt>
                <c:pt idx="4">
                  <c:v>997566.67877399991</c:v>
                </c:pt>
                <c:pt idx="5">
                  <c:v>1410599.5731000002</c:v>
                </c:pt>
              </c:numCache>
            </c:numRef>
          </c:val>
          <c:extLst>
            <c:ext xmlns:c16="http://schemas.microsoft.com/office/drawing/2014/chart" uri="{C3380CC4-5D6E-409C-BE32-E72D297353CC}">
              <c16:uniqueId val="{00000001-D88F-C147-9E56-762FD036E465}"/>
            </c:ext>
          </c:extLst>
        </c:ser>
        <c:ser>
          <c:idx val="2"/>
          <c:order val="2"/>
          <c:tx>
            <c:strRef>
              <c:f>'Exploratory Template'!$F$32:$F$33</c:f>
              <c:strCache>
                <c:ptCount val="1"/>
                <c:pt idx="0">
                  <c:v>Damage to Other Vessels</c:v>
                </c:pt>
              </c:strCache>
            </c:strRef>
          </c:tx>
          <c:spPr>
            <a:solidFill>
              <a:schemeClr val="accent3"/>
            </a:solidFill>
            <a:ln>
              <a:noFill/>
            </a:ln>
            <a:effectLst/>
          </c:spPr>
          <c:invertIfNegative val="0"/>
          <c:cat>
            <c:strRef>
              <c:f>'Exploratory Template'!$C$34:$C$40</c:f>
              <c:strCache>
                <c:ptCount val="6"/>
                <c:pt idx="0">
                  <c:v>2018</c:v>
                </c:pt>
                <c:pt idx="1">
                  <c:v>2019</c:v>
                </c:pt>
                <c:pt idx="2">
                  <c:v>2020</c:v>
                </c:pt>
                <c:pt idx="3">
                  <c:v>2021</c:v>
                </c:pt>
                <c:pt idx="4">
                  <c:v>2022</c:v>
                </c:pt>
                <c:pt idx="5">
                  <c:v>2023</c:v>
                </c:pt>
              </c:strCache>
            </c:strRef>
          </c:cat>
          <c:val>
            <c:numRef>
              <c:f>'Exploratory Template'!$F$34:$F$40</c:f>
              <c:numCache>
                <c:formatCode>_("$"* #,##0.00_);_("$"* \(#,##0.00\);_("$"* "-"??_);_(@_)</c:formatCode>
                <c:ptCount val="6"/>
                <c:pt idx="0">
                  <c:v>1375285.277522712</c:v>
                </c:pt>
                <c:pt idx="1">
                  <c:v>2434672.3592118071</c:v>
                </c:pt>
                <c:pt idx="2">
                  <c:v>3050494.7499306966</c:v>
                </c:pt>
                <c:pt idx="3">
                  <c:v>2386006.5987511203</c:v>
                </c:pt>
                <c:pt idx="4">
                  <c:v>2654253.808468</c:v>
                </c:pt>
                <c:pt idx="5">
                  <c:v>834871.46829999995</c:v>
                </c:pt>
              </c:numCache>
            </c:numRef>
          </c:val>
          <c:extLst>
            <c:ext xmlns:c16="http://schemas.microsoft.com/office/drawing/2014/chart" uri="{C3380CC4-5D6E-409C-BE32-E72D297353CC}">
              <c16:uniqueId val="{00000002-D88F-C147-9E56-762FD036E465}"/>
            </c:ext>
          </c:extLst>
        </c:ser>
        <c:ser>
          <c:idx val="3"/>
          <c:order val="3"/>
          <c:tx>
            <c:strRef>
              <c:f>'Exploratory Template'!$G$32:$G$33</c:f>
              <c:strCache>
                <c:ptCount val="1"/>
                <c:pt idx="0">
                  <c:v>Environmental Pollution</c:v>
                </c:pt>
              </c:strCache>
            </c:strRef>
          </c:tx>
          <c:spPr>
            <a:solidFill>
              <a:schemeClr val="accent4"/>
            </a:solidFill>
            <a:ln>
              <a:noFill/>
            </a:ln>
            <a:effectLst/>
          </c:spPr>
          <c:invertIfNegative val="0"/>
          <c:cat>
            <c:strRef>
              <c:f>'Exploratory Template'!$C$34:$C$40</c:f>
              <c:strCache>
                <c:ptCount val="6"/>
                <c:pt idx="0">
                  <c:v>2018</c:v>
                </c:pt>
                <c:pt idx="1">
                  <c:v>2019</c:v>
                </c:pt>
                <c:pt idx="2">
                  <c:v>2020</c:v>
                </c:pt>
                <c:pt idx="3">
                  <c:v>2021</c:v>
                </c:pt>
                <c:pt idx="4">
                  <c:v>2022</c:v>
                </c:pt>
                <c:pt idx="5">
                  <c:v>2023</c:v>
                </c:pt>
              </c:strCache>
            </c:strRef>
          </c:cat>
          <c:val>
            <c:numRef>
              <c:f>'Exploratory Template'!$G$34:$G$40</c:f>
              <c:numCache>
                <c:formatCode>_("$"* #,##0.00_);_("$"* \(#,##0.00\);_("$"* "-"??_);_(@_)</c:formatCode>
                <c:ptCount val="6"/>
                <c:pt idx="1">
                  <c:v>3215152.3493829388</c:v>
                </c:pt>
                <c:pt idx="2">
                  <c:v>3693140.9137192685</c:v>
                </c:pt>
                <c:pt idx="3">
                  <c:v>3537852.8211535201</c:v>
                </c:pt>
                <c:pt idx="4">
                  <c:v>8416336.8043120001</c:v>
                </c:pt>
              </c:numCache>
            </c:numRef>
          </c:val>
          <c:extLst>
            <c:ext xmlns:c16="http://schemas.microsoft.com/office/drawing/2014/chart" uri="{C3380CC4-5D6E-409C-BE32-E72D297353CC}">
              <c16:uniqueId val="{00000003-D88F-C147-9E56-762FD036E465}"/>
            </c:ext>
          </c:extLst>
        </c:ser>
        <c:ser>
          <c:idx val="4"/>
          <c:order val="4"/>
          <c:tx>
            <c:strRef>
              <c:f>'Exploratory Template'!$H$32:$H$33</c:f>
              <c:strCache>
                <c:ptCount val="1"/>
                <c:pt idx="0">
                  <c:v>Injury to Third Parties</c:v>
                </c:pt>
              </c:strCache>
            </c:strRef>
          </c:tx>
          <c:spPr>
            <a:solidFill>
              <a:schemeClr val="accent5"/>
            </a:solidFill>
            <a:ln>
              <a:noFill/>
            </a:ln>
            <a:effectLst/>
          </c:spPr>
          <c:invertIfNegative val="0"/>
          <c:cat>
            <c:strRef>
              <c:f>'Exploratory Template'!$C$34:$C$40</c:f>
              <c:strCache>
                <c:ptCount val="6"/>
                <c:pt idx="0">
                  <c:v>2018</c:v>
                </c:pt>
                <c:pt idx="1">
                  <c:v>2019</c:v>
                </c:pt>
                <c:pt idx="2">
                  <c:v>2020</c:v>
                </c:pt>
                <c:pt idx="3">
                  <c:v>2021</c:v>
                </c:pt>
                <c:pt idx="4">
                  <c:v>2022</c:v>
                </c:pt>
                <c:pt idx="5">
                  <c:v>2023</c:v>
                </c:pt>
              </c:strCache>
            </c:strRef>
          </c:cat>
          <c:val>
            <c:numRef>
              <c:f>'Exploratory Template'!$H$34:$H$40</c:f>
              <c:numCache>
                <c:formatCode>_("$"* #,##0.00_);_("$"* \(#,##0.00\);_("$"* "-"??_);_(@_)</c:formatCode>
                <c:ptCount val="6"/>
                <c:pt idx="0">
                  <c:v>2000197.9464693414</c:v>
                </c:pt>
                <c:pt idx="1">
                  <c:v>825320.96309482318</c:v>
                </c:pt>
                <c:pt idx="2">
                  <c:v>1758685.2249286552</c:v>
                </c:pt>
                <c:pt idx="3">
                  <c:v>232953.22239032001</c:v>
                </c:pt>
                <c:pt idx="5">
                  <c:v>3629743.5011</c:v>
                </c:pt>
              </c:numCache>
            </c:numRef>
          </c:val>
          <c:extLst>
            <c:ext xmlns:c16="http://schemas.microsoft.com/office/drawing/2014/chart" uri="{C3380CC4-5D6E-409C-BE32-E72D297353CC}">
              <c16:uniqueId val="{00000004-D88F-C147-9E56-762FD036E465}"/>
            </c:ext>
          </c:extLst>
        </c:ser>
        <c:dLbls>
          <c:showLegendKey val="0"/>
          <c:showVal val="0"/>
          <c:showCatName val="0"/>
          <c:showSerName val="0"/>
          <c:showPercent val="0"/>
          <c:showBubbleSize val="0"/>
        </c:dLbls>
        <c:gapWidth val="219"/>
        <c:overlap val="-27"/>
        <c:axId val="560536175"/>
        <c:axId val="1863199408"/>
      </c:barChart>
      <c:catAx>
        <c:axId val="56053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199408"/>
        <c:crosses val="autoZero"/>
        <c:auto val="1"/>
        <c:lblAlgn val="ctr"/>
        <c:lblOffset val="100"/>
        <c:noMultiLvlLbl val="0"/>
      </c:catAx>
      <c:valAx>
        <c:axId val="18631994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53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[Actuarial_Task 2 - Claims Data - Final.xlsx]Exploratory Template!PivotTable6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Template'!$D$43:$D$44</c:f>
              <c:strCache>
                <c:ptCount val="1"/>
                <c:pt idx="0">
                  <c:v>Cargo Liability</c:v>
                </c:pt>
              </c:strCache>
            </c:strRef>
          </c:tx>
          <c:spPr>
            <a:solidFill>
              <a:schemeClr val="accent1"/>
            </a:solidFill>
            <a:ln>
              <a:noFill/>
            </a:ln>
            <a:effectLst/>
          </c:spPr>
          <c:invertIfNegative val="0"/>
          <c:cat>
            <c:strRef>
              <c:f>'Exploratory Template'!$C$45:$C$51</c:f>
              <c:strCache>
                <c:ptCount val="6"/>
                <c:pt idx="0">
                  <c:v>2018</c:v>
                </c:pt>
                <c:pt idx="1">
                  <c:v>2019</c:v>
                </c:pt>
                <c:pt idx="2">
                  <c:v>2020</c:v>
                </c:pt>
                <c:pt idx="3">
                  <c:v>2021</c:v>
                </c:pt>
                <c:pt idx="4">
                  <c:v>2022</c:v>
                </c:pt>
                <c:pt idx="5">
                  <c:v>2023</c:v>
                </c:pt>
              </c:strCache>
            </c:strRef>
          </c:cat>
          <c:val>
            <c:numRef>
              <c:f>'Exploratory Template'!$D$45:$D$51</c:f>
              <c:numCache>
                <c:formatCode>General</c:formatCode>
                <c:ptCount val="6"/>
                <c:pt idx="0">
                  <c:v>1</c:v>
                </c:pt>
                <c:pt idx="1">
                  <c:v>1</c:v>
                </c:pt>
                <c:pt idx="2">
                  <c:v>6</c:v>
                </c:pt>
                <c:pt idx="3">
                  <c:v>3</c:v>
                </c:pt>
                <c:pt idx="4">
                  <c:v>5</c:v>
                </c:pt>
                <c:pt idx="5">
                  <c:v>3</c:v>
                </c:pt>
              </c:numCache>
            </c:numRef>
          </c:val>
          <c:extLst>
            <c:ext xmlns:c16="http://schemas.microsoft.com/office/drawing/2014/chart" uri="{C3380CC4-5D6E-409C-BE32-E72D297353CC}">
              <c16:uniqueId val="{00000000-8B15-294F-B43A-415B85299F5B}"/>
            </c:ext>
          </c:extLst>
        </c:ser>
        <c:ser>
          <c:idx val="1"/>
          <c:order val="1"/>
          <c:tx>
            <c:strRef>
              <c:f>'Exploratory Template'!$E$43:$E$44</c:f>
              <c:strCache>
                <c:ptCount val="1"/>
                <c:pt idx="0">
                  <c:v>Collision Liability</c:v>
                </c:pt>
              </c:strCache>
            </c:strRef>
          </c:tx>
          <c:spPr>
            <a:solidFill>
              <a:schemeClr val="accent2"/>
            </a:solidFill>
            <a:ln>
              <a:noFill/>
            </a:ln>
            <a:effectLst/>
          </c:spPr>
          <c:invertIfNegative val="0"/>
          <c:cat>
            <c:strRef>
              <c:f>'Exploratory Template'!$C$45:$C$51</c:f>
              <c:strCache>
                <c:ptCount val="6"/>
                <c:pt idx="0">
                  <c:v>2018</c:v>
                </c:pt>
                <c:pt idx="1">
                  <c:v>2019</c:v>
                </c:pt>
                <c:pt idx="2">
                  <c:v>2020</c:v>
                </c:pt>
                <c:pt idx="3">
                  <c:v>2021</c:v>
                </c:pt>
                <c:pt idx="4">
                  <c:v>2022</c:v>
                </c:pt>
                <c:pt idx="5">
                  <c:v>2023</c:v>
                </c:pt>
              </c:strCache>
            </c:strRef>
          </c:cat>
          <c:val>
            <c:numRef>
              <c:f>'Exploratory Template'!$E$45:$E$51</c:f>
              <c:numCache>
                <c:formatCode>General</c:formatCode>
                <c:ptCount val="6"/>
                <c:pt idx="0">
                  <c:v>4</c:v>
                </c:pt>
                <c:pt idx="1">
                  <c:v>6</c:v>
                </c:pt>
                <c:pt idx="3">
                  <c:v>6</c:v>
                </c:pt>
                <c:pt idx="4">
                  <c:v>3</c:v>
                </c:pt>
                <c:pt idx="5">
                  <c:v>2</c:v>
                </c:pt>
              </c:numCache>
            </c:numRef>
          </c:val>
          <c:extLst>
            <c:ext xmlns:c16="http://schemas.microsoft.com/office/drawing/2014/chart" uri="{C3380CC4-5D6E-409C-BE32-E72D297353CC}">
              <c16:uniqueId val="{00000001-8B15-294F-B43A-415B85299F5B}"/>
            </c:ext>
          </c:extLst>
        </c:ser>
        <c:ser>
          <c:idx val="2"/>
          <c:order val="2"/>
          <c:tx>
            <c:strRef>
              <c:f>'Exploratory Template'!$F$43:$F$44</c:f>
              <c:strCache>
                <c:ptCount val="1"/>
                <c:pt idx="0">
                  <c:v>Damage to Other Vessels</c:v>
                </c:pt>
              </c:strCache>
            </c:strRef>
          </c:tx>
          <c:spPr>
            <a:solidFill>
              <a:schemeClr val="accent3"/>
            </a:solidFill>
            <a:ln>
              <a:noFill/>
            </a:ln>
            <a:effectLst/>
          </c:spPr>
          <c:invertIfNegative val="0"/>
          <c:cat>
            <c:strRef>
              <c:f>'Exploratory Template'!$C$45:$C$51</c:f>
              <c:strCache>
                <c:ptCount val="6"/>
                <c:pt idx="0">
                  <c:v>2018</c:v>
                </c:pt>
                <c:pt idx="1">
                  <c:v>2019</c:v>
                </c:pt>
                <c:pt idx="2">
                  <c:v>2020</c:v>
                </c:pt>
                <c:pt idx="3">
                  <c:v>2021</c:v>
                </c:pt>
                <c:pt idx="4">
                  <c:v>2022</c:v>
                </c:pt>
                <c:pt idx="5">
                  <c:v>2023</c:v>
                </c:pt>
              </c:strCache>
            </c:strRef>
          </c:cat>
          <c:val>
            <c:numRef>
              <c:f>'Exploratory Template'!$F$45:$F$51</c:f>
              <c:numCache>
                <c:formatCode>General</c:formatCode>
                <c:ptCount val="6"/>
                <c:pt idx="0">
                  <c:v>2</c:v>
                </c:pt>
                <c:pt idx="1">
                  <c:v>3</c:v>
                </c:pt>
                <c:pt idx="2">
                  <c:v>5</c:v>
                </c:pt>
                <c:pt idx="3">
                  <c:v>4</c:v>
                </c:pt>
                <c:pt idx="4">
                  <c:v>4</c:v>
                </c:pt>
                <c:pt idx="5">
                  <c:v>2</c:v>
                </c:pt>
              </c:numCache>
            </c:numRef>
          </c:val>
          <c:extLst>
            <c:ext xmlns:c16="http://schemas.microsoft.com/office/drawing/2014/chart" uri="{C3380CC4-5D6E-409C-BE32-E72D297353CC}">
              <c16:uniqueId val="{00000002-8B15-294F-B43A-415B85299F5B}"/>
            </c:ext>
          </c:extLst>
        </c:ser>
        <c:ser>
          <c:idx val="3"/>
          <c:order val="3"/>
          <c:tx>
            <c:strRef>
              <c:f>'Exploratory Template'!$G$43:$G$44</c:f>
              <c:strCache>
                <c:ptCount val="1"/>
                <c:pt idx="0">
                  <c:v>Environmental Pollution</c:v>
                </c:pt>
              </c:strCache>
            </c:strRef>
          </c:tx>
          <c:spPr>
            <a:solidFill>
              <a:schemeClr val="accent4"/>
            </a:solidFill>
            <a:ln>
              <a:noFill/>
            </a:ln>
            <a:effectLst/>
          </c:spPr>
          <c:invertIfNegative val="0"/>
          <c:cat>
            <c:strRef>
              <c:f>'Exploratory Template'!$C$45:$C$51</c:f>
              <c:strCache>
                <c:ptCount val="6"/>
                <c:pt idx="0">
                  <c:v>2018</c:v>
                </c:pt>
                <c:pt idx="1">
                  <c:v>2019</c:v>
                </c:pt>
                <c:pt idx="2">
                  <c:v>2020</c:v>
                </c:pt>
                <c:pt idx="3">
                  <c:v>2021</c:v>
                </c:pt>
                <c:pt idx="4">
                  <c:v>2022</c:v>
                </c:pt>
                <c:pt idx="5">
                  <c:v>2023</c:v>
                </c:pt>
              </c:strCache>
            </c:strRef>
          </c:cat>
          <c:val>
            <c:numRef>
              <c:f>'Exploratory Template'!$G$45:$G$51</c:f>
              <c:numCache>
                <c:formatCode>General</c:formatCode>
                <c:ptCount val="6"/>
                <c:pt idx="1">
                  <c:v>5</c:v>
                </c:pt>
                <c:pt idx="2">
                  <c:v>6</c:v>
                </c:pt>
                <c:pt idx="3">
                  <c:v>6</c:v>
                </c:pt>
                <c:pt idx="4">
                  <c:v>5</c:v>
                </c:pt>
              </c:numCache>
            </c:numRef>
          </c:val>
          <c:extLst>
            <c:ext xmlns:c16="http://schemas.microsoft.com/office/drawing/2014/chart" uri="{C3380CC4-5D6E-409C-BE32-E72D297353CC}">
              <c16:uniqueId val="{00000003-8B15-294F-B43A-415B85299F5B}"/>
            </c:ext>
          </c:extLst>
        </c:ser>
        <c:ser>
          <c:idx val="4"/>
          <c:order val="4"/>
          <c:tx>
            <c:strRef>
              <c:f>'Exploratory Template'!$H$43:$H$44</c:f>
              <c:strCache>
                <c:ptCount val="1"/>
                <c:pt idx="0">
                  <c:v>Injury to Third Parties</c:v>
                </c:pt>
              </c:strCache>
            </c:strRef>
          </c:tx>
          <c:spPr>
            <a:solidFill>
              <a:schemeClr val="accent5"/>
            </a:solidFill>
            <a:ln>
              <a:noFill/>
            </a:ln>
            <a:effectLst/>
          </c:spPr>
          <c:invertIfNegative val="0"/>
          <c:cat>
            <c:strRef>
              <c:f>'Exploratory Template'!$C$45:$C$51</c:f>
              <c:strCache>
                <c:ptCount val="6"/>
                <c:pt idx="0">
                  <c:v>2018</c:v>
                </c:pt>
                <c:pt idx="1">
                  <c:v>2019</c:v>
                </c:pt>
                <c:pt idx="2">
                  <c:v>2020</c:v>
                </c:pt>
                <c:pt idx="3">
                  <c:v>2021</c:v>
                </c:pt>
                <c:pt idx="4">
                  <c:v>2022</c:v>
                </c:pt>
                <c:pt idx="5">
                  <c:v>2023</c:v>
                </c:pt>
              </c:strCache>
            </c:strRef>
          </c:cat>
          <c:val>
            <c:numRef>
              <c:f>'Exploratory Template'!$H$45:$H$51</c:f>
              <c:numCache>
                <c:formatCode>General</c:formatCode>
                <c:ptCount val="6"/>
                <c:pt idx="0">
                  <c:v>3</c:v>
                </c:pt>
                <c:pt idx="1">
                  <c:v>2</c:v>
                </c:pt>
                <c:pt idx="2">
                  <c:v>3</c:v>
                </c:pt>
                <c:pt idx="3">
                  <c:v>1</c:v>
                </c:pt>
                <c:pt idx="5">
                  <c:v>9</c:v>
                </c:pt>
              </c:numCache>
            </c:numRef>
          </c:val>
          <c:extLst>
            <c:ext xmlns:c16="http://schemas.microsoft.com/office/drawing/2014/chart" uri="{C3380CC4-5D6E-409C-BE32-E72D297353CC}">
              <c16:uniqueId val="{00000004-8B15-294F-B43A-415B85299F5B}"/>
            </c:ext>
          </c:extLst>
        </c:ser>
        <c:dLbls>
          <c:showLegendKey val="0"/>
          <c:showVal val="0"/>
          <c:showCatName val="0"/>
          <c:showSerName val="0"/>
          <c:showPercent val="0"/>
          <c:showBubbleSize val="0"/>
        </c:dLbls>
        <c:gapWidth val="219"/>
        <c:overlap val="-27"/>
        <c:axId val="1863224880"/>
        <c:axId val="1837155040"/>
      </c:barChart>
      <c:catAx>
        <c:axId val="186322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155040"/>
        <c:crosses val="autoZero"/>
        <c:auto val="1"/>
        <c:lblAlgn val="ctr"/>
        <c:lblOffset val="100"/>
        <c:noMultiLvlLbl val="0"/>
      </c:catAx>
      <c:valAx>
        <c:axId val="183715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22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88900</xdr:colOff>
      <xdr:row>46</xdr:row>
      <xdr:rowOff>76200</xdr:rowOff>
    </xdr:from>
    <xdr:to>
      <xdr:col>17</xdr:col>
      <xdr:colOff>12700</xdr:colOff>
      <xdr:row>64</xdr:row>
      <xdr:rowOff>254000</xdr:rowOff>
    </xdr:to>
    <xdr:graphicFrame macro="">
      <xdr:nvGraphicFramePr>
        <xdr:cNvPr id="2" name="Chart 1">
          <a:extLst>
            <a:ext uri="{FF2B5EF4-FFF2-40B4-BE49-F238E27FC236}">
              <a16:creationId xmlns:a16="http://schemas.microsoft.com/office/drawing/2014/main" id="{B1BD0FD1-C3D0-0ACF-38AF-50D8EB641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12700</xdr:colOff>
      <xdr:row>68</xdr:row>
      <xdr:rowOff>177800</xdr:rowOff>
    </xdr:from>
    <xdr:to>
      <xdr:col>17</xdr:col>
      <xdr:colOff>0</xdr:colOff>
      <xdr:row>88</xdr:row>
      <xdr:rowOff>165100</xdr:rowOff>
    </xdr:to>
    <xdr:graphicFrame macro="">
      <xdr:nvGraphicFramePr>
        <xdr:cNvPr id="3" name="Chart 2">
          <a:extLst>
            <a:ext uri="{FF2B5EF4-FFF2-40B4-BE49-F238E27FC236}">
              <a16:creationId xmlns:a16="http://schemas.microsoft.com/office/drawing/2014/main" id="{6535D37E-D3AB-58C7-5AD8-0532537E1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101600</xdr:colOff>
      <xdr:row>1</xdr:row>
      <xdr:rowOff>50800</xdr:rowOff>
    </xdr:from>
    <xdr:ext cx="9194800" cy="21666200"/>
    <xdr:sp macro="" textlink="">
      <xdr:nvSpPr>
        <xdr:cNvPr id="2" name="TextBox 1">
          <a:extLst>
            <a:ext uri="{FF2B5EF4-FFF2-40B4-BE49-F238E27FC236}">
              <a16:creationId xmlns:a16="http://schemas.microsoft.com/office/drawing/2014/main" id="{22A03F87-E601-D63A-1E54-C83FB70F13C0}"/>
            </a:ext>
          </a:extLst>
        </xdr:cNvPr>
        <xdr:cNvSpPr txBox="1"/>
      </xdr:nvSpPr>
      <xdr:spPr>
        <a:xfrm>
          <a:off x="927100" y="254000"/>
          <a:ext cx="9194800" cy="21666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b="1"/>
            <a:t>1. Executive Summary</a:t>
          </a:r>
        </a:p>
        <a:p>
          <a:r>
            <a:rPr lang="en-US" b="1"/>
            <a:t>This report assesses the pricing for Marine Liability Insurance using claims data from 2018 to 2023. Individual policies run from 1/1 – 31/12 for each year. The analysis focuses on key pricing elements, including loss frequency and severity on a yearly basis and key considerations such as inflation adjustments, large loss handling, and premium calculations. Recommendations are provided to adjust premiums based on observed trends (if any), exposure, and assumptions about future claims, including handling for large loss events.</a:t>
          </a:r>
        </a:p>
        <a:p>
          <a:endParaRPr lang="en-US"/>
        </a:p>
        <a:p>
          <a:r>
            <a:rPr lang="en-US" b="1"/>
            <a:t>2. Data Overview</a:t>
          </a:r>
        </a:p>
        <a:p>
          <a:r>
            <a:rPr lang="en-US" b="0"/>
            <a:t>The dataset comprises 100 Marine Liability claims reported between 2018 and 2023. The key variables analysed include:</a:t>
          </a:r>
        </a:p>
        <a:p>
          <a:r>
            <a:rPr lang="en-US" b="0"/>
            <a:t>+ Claim Types: Collision, Cargo Liability, Damage to Other Vessels, Environmental Pollution, and Injury to Third Parties.</a:t>
          </a:r>
        </a:p>
        <a:p>
          <a:r>
            <a:rPr lang="en-US" b="0"/>
            <a:t>+ Amount Gross Inflation Adjusted Claimed: Ranges from $114,000 to $5,300,000.</a:t>
          </a:r>
        </a:p>
        <a:p>
          <a:r>
            <a:rPr lang="en-US" b="0"/>
            <a:t>+ Policy Limits: Vary from $500,000 to $10,000,000.</a:t>
          </a:r>
        </a:p>
        <a:p>
          <a:r>
            <a:rPr lang="en-US" b="0"/>
            <a:t>+ Deductibles: Range from $10,000 to $50,000.</a:t>
          </a:r>
        </a:p>
        <a:p>
          <a:r>
            <a:rPr lang="en-US" b="0"/>
            <a:t>+ Claim Status: 65 claims are closed, with the remainder either open or in litigation.</a:t>
          </a:r>
        </a:p>
        <a:p>
          <a:endParaRPr lang="en-US" b="1"/>
        </a:p>
        <a:p>
          <a:r>
            <a:rPr lang="en-US" b="1"/>
            <a:t>3. Exploratory Data Analysis (EDA)</a:t>
          </a:r>
        </a:p>
        <a:p>
          <a:r>
            <a:rPr lang="en-US" b="0"/>
            <a:t>The claims data shows that:</a:t>
          </a:r>
        </a:p>
        <a:p>
          <a:r>
            <a:rPr lang="en-US" b="0"/>
            <a:t>Collision and Environmental Pollution Liability claims are the most frequent, accounting for over 43% of all claims.</a:t>
          </a:r>
        </a:p>
        <a:p>
          <a:r>
            <a:rPr lang="en-US" b="0"/>
            <a:t>The highest severity claims are in Environmental Pollution, with one large loss event exceeding $5 million.</a:t>
          </a:r>
        </a:p>
        <a:p>
          <a:r>
            <a:rPr lang="en-US" b="0"/>
            <a:t>Claims Frequency: Steady growth over the years, with a noticeable increase in 2020 due to cargo liability claims.</a:t>
          </a:r>
        </a:p>
        <a:p>
          <a:r>
            <a:rPr lang="en-US" b="0"/>
            <a:t>Outliers: The large loss claim in 2022 is significantly higher than other claims and will require special handling in the premium calculation.</a:t>
          </a:r>
        </a:p>
        <a:p>
          <a:endParaRPr lang="en-US" b="0"/>
        </a:p>
        <a:p>
          <a:r>
            <a:rPr lang="en-US" b="1"/>
            <a:t>4. Risk Assessment</a:t>
          </a:r>
        </a:p>
        <a:p>
          <a:r>
            <a:rPr lang="en-US" b="0"/>
            <a:t>Based on the historical claims data:</a:t>
          </a:r>
        </a:p>
        <a:p>
          <a:r>
            <a:rPr lang="en-US" b="1"/>
            <a:t>Loss Severity by claim type (adjusted for inflation):</a:t>
          </a:r>
        </a:p>
        <a:p>
          <a:r>
            <a:rPr lang="en-US" b="0"/>
            <a:t>	Collision Liability : $575,994</a:t>
          </a:r>
        </a:p>
        <a:p>
          <a:r>
            <a:rPr lang="en-US" b="0"/>
            <a:t>	Cargo Liability: $590,583</a:t>
          </a:r>
        </a:p>
        <a:p>
          <a:r>
            <a:rPr lang="en-US" b="0"/>
            <a:t>	Damage to other vessels: $632,910</a:t>
          </a:r>
        </a:p>
        <a:p>
          <a:r>
            <a:rPr lang="en-US" b="0"/>
            <a:t>	Environmental Pollution: $857,386</a:t>
          </a:r>
        </a:p>
        <a:p>
          <a:r>
            <a:rPr lang="en-US" b="0"/>
            <a:t>	Injury to third parties: $469,272</a:t>
          </a:r>
        </a:p>
        <a:p>
          <a:endParaRPr lang="en-US" b="0"/>
        </a:p>
        <a:p>
          <a:r>
            <a:rPr lang="en-US" b="1"/>
            <a:t>Claim count by claim type (adjusted for inflation):</a:t>
          </a:r>
        </a:p>
        <a:p>
          <a:pPr algn="l"/>
          <a:r>
            <a:rPr lang="en-US" b="0"/>
            <a:t>                 	Collision Liability: 21</a:t>
          </a:r>
        </a:p>
        <a:p>
          <a:pPr algn="l"/>
          <a:r>
            <a:rPr lang="en-US" b="0"/>
            <a:t>                	Cargo Liability: 19</a:t>
          </a:r>
        </a:p>
        <a:p>
          <a:pPr algn="l"/>
          <a:r>
            <a:rPr lang="en-US" b="0"/>
            <a:t>                  	Damage to other vessels: 20</a:t>
          </a:r>
        </a:p>
        <a:p>
          <a:pPr algn="l"/>
          <a:r>
            <a:rPr lang="en-US" b="0"/>
            <a:t>                  	Environmental Pollution: 22</a:t>
          </a:r>
        </a:p>
        <a:p>
          <a:pPr algn="l"/>
          <a:r>
            <a:rPr lang="en-US" b="0"/>
            <a:t>                 	Injury to third parties: 18</a:t>
          </a:r>
        </a:p>
        <a:p>
          <a:pPr algn="l"/>
          <a:endParaRPr lang="en-US" b="0"/>
        </a:p>
        <a:p>
          <a:pPr algn="l"/>
          <a:r>
            <a:rPr lang="en-US" b="1"/>
            <a:t>Key Findings</a:t>
          </a:r>
          <a:r>
            <a:rPr lang="en-US" b="0"/>
            <a:t>: Environmental Pollution poses the highest risk due to its potential for catastrophic losses, and is also the most frequent claim type observed. Collision Liability, Cargo Liability, though  frequent, have lower severities.</a:t>
          </a:r>
        </a:p>
        <a:p>
          <a:pPr algn="l"/>
          <a:endParaRPr lang="en-US" b="0"/>
        </a:p>
        <a:p>
          <a:pPr algn="l"/>
          <a:r>
            <a:rPr lang="en-US" b="1"/>
            <a:t>Summary by cause of loss:</a:t>
          </a:r>
        </a:p>
        <a:p>
          <a:pPr algn="l"/>
          <a:r>
            <a:rPr lang="en-US" b="0"/>
            <a:t>The most frequent cause of loss is Technical failure followed by human error. While both of these are high frequency events, they have the lowest severity compared to the other causes of loss.</a:t>
          </a:r>
        </a:p>
        <a:p>
          <a:pPr algn="l"/>
          <a:endParaRPr lang="en-US" b="0"/>
        </a:p>
        <a:p>
          <a:pPr algn="l"/>
          <a:r>
            <a:rPr lang="en-US" b="1"/>
            <a:t>Assumptions:</a:t>
          </a:r>
        </a:p>
        <a:p>
          <a:pPr algn="l"/>
          <a:r>
            <a:rPr lang="en-US" b="0"/>
            <a:t>Commission is set to 0%.</a:t>
          </a:r>
        </a:p>
        <a:p>
          <a:pPr algn="l"/>
          <a:r>
            <a:rPr lang="en-US" b="0"/>
            <a:t>No adjustments are required for claims development patterns.</a:t>
          </a:r>
        </a:p>
        <a:p>
          <a:pPr algn="l"/>
          <a:r>
            <a:rPr lang="en-US" b="0"/>
            <a:t>The policy period runs from 1/1 – 31/12 each year.</a:t>
          </a:r>
        </a:p>
        <a:p>
          <a:pPr algn="l"/>
          <a:endParaRPr lang="en-US" b="0"/>
        </a:p>
        <a:p>
          <a:r>
            <a:rPr lang="en-US" b="1"/>
            <a:t>5. Premium Calculation by Year</a:t>
          </a:r>
        </a:p>
        <a:p>
          <a:r>
            <a:rPr lang="en-US" b="1"/>
            <a:t>Claim Frequency and Severity: </a:t>
          </a:r>
          <a:r>
            <a:rPr lang="en-US" b="0"/>
            <a:t>Claim frequency is calculated by dividing the number of claims by the exposure at risk for each year, and claim severity is calculated as the sum of net incurred claims divided by the number of claims in that period. In this case, our exposure is gross tonnage. Loss frequency gives us an understanding of how often claims occur, while loss severity gives insight into the financial impact of each claim. These metrics are adjusted for inflation to provide a more accurate reflection of the cost of claims in the upcoming policy period that is being priced.</a:t>
          </a:r>
        </a:p>
        <a:p>
          <a:pPr marL="360000"/>
          <a:r>
            <a:rPr lang="en-US" sz="1100" b="1">
              <a:solidFill>
                <a:schemeClr val="tx1"/>
              </a:solidFill>
              <a:effectLst/>
              <a:latin typeface="+mn-lt"/>
              <a:ea typeface="+mn-ea"/>
              <a:cs typeface="+mn-cs"/>
            </a:rPr>
            <a:t>Average Frequency:</a:t>
          </a:r>
          <a:r>
            <a:rPr lang="en-US" sz="1100" b="0" i="0">
              <a:solidFill>
                <a:schemeClr val="tx1"/>
              </a:solidFill>
              <a:effectLst/>
              <a:latin typeface="+mn-lt"/>
              <a:ea typeface="+mn-ea"/>
              <a:cs typeface="+mn-cs"/>
            </a:rPr>
            <a:t>  0.000000373</a:t>
          </a:r>
        </a:p>
        <a:p>
          <a:pPr marL="360000"/>
          <a:r>
            <a:rPr lang="en-US" sz="1100" b="1">
              <a:solidFill>
                <a:schemeClr val="tx1"/>
              </a:solidFill>
              <a:effectLst/>
              <a:latin typeface="+mn-lt"/>
              <a:ea typeface="+mn-ea"/>
              <a:cs typeface="+mn-cs"/>
            </a:rPr>
            <a:t>Average Severity per Claim:  $586,168</a:t>
          </a:r>
        </a:p>
        <a:p>
          <a:pPr marL="360000"/>
          <a:r>
            <a:rPr lang="en-US" sz="1100" b="1">
              <a:solidFill>
                <a:schemeClr val="tx1"/>
              </a:solidFill>
              <a:effectLst/>
              <a:latin typeface="+mn-lt"/>
              <a:ea typeface="+mn-ea"/>
              <a:cs typeface="+mn-cs"/>
            </a:rPr>
            <a:t>2024 Expected</a:t>
          </a:r>
          <a:r>
            <a:rPr lang="en-US" sz="1100" b="1" baseline="0">
              <a:solidFill>
                <a:schemeClr val="tx1"/>
              </a:solidFill>
              <a:effectLst/>
              <a:latin typeface="+mn-lt"/>
              <a:ea typeface="+mn-ea"/>
              <a:cs typeface="+mn-cs"/>
            </a:rPr>
            <a:t> Gross Tonnage: 40,000,000</a:t>
          </a:r>
        </a:p>
        <a:p>
          <a:pPr marL="360000"/>
          <a:r>
            <a:rPr lang="en-US" sz="1100" b="1">
              <a:solidFill>
                <a:schemeClr val="tx1"/>
              </a:solidFill>
              <a:effectLst/>
              <a:latin typeface="+mn-lt"/>
              <a:ea typeface="+mn-ea"/>
              <a:cs typeface="+mn-cs"/>
            </a:rPr>
            <a:t>Total Risk Premium excl. large loss loading: $8,739,878</a:t>
          </a:r>
          <a:br>
            <a:rPr lang="en-US" sz="1100">
              <a:solidFill>
                <a:schemeClr val="tx1"/>
              </a:solidFill>
              <a:effectLst/>
              <a:latin typeface="+mn-lt"/>
              <a:ea typeface="+mn-ea"/>
              <a:cs typeface="+mn-cs"/>
            </a:rPr>
          </a:br>
          <a:r>
            <a:rPr lang="en-US" sz="1100" b="1">
              <a:solidFill>
                <a:schemeClr val="tx1"/>
              </a:solidFill>
              <a:effectLst/>
              <a:latin typeface="+mn-lt"/>
              <a:ea typeface="+mn-ea"/>
              <a:cs typeface="+mn-cs"/>
            </a:rPr>
            <a:t>Total Risk Premium incl. large loss loading: $9,002,575 </a:t>
          </a:r>
          <a:endParaRPr lang="en-GB">
            <a:effectLst/>
          </a:endParaRPr>
        </a:p>
        <a:p>
          <a:endParaRPr lang="en-US"/>
        </a:p>
        <a:p>
          <a:r>
            <a:rPr lang="en-US" b="1"/>
            <a:t>Final Premium Calculation</a:t>
          </a:r>
          <a:r>
            <a:rPr lang="en-US"/>
            <a:t>:</a:t>
          </a:r>
        </a:p>
        <a:p>
          <a:pPr marL="360000"/>
          <a:r>
            <a:rPr lang="en-US" b="1"/>
            <a:t>Expense Loading</a:t>
          </a:r>
          <a:r>
            <a:rPr lang="en-US"/>
            <a:t> = 30%</a:t>
          </a:r>
        </a:p>
        <a:p>
          <a:pPr marL="360000"/>
          <a:r>
            <a:rPr lang="en-US" b="1"/>
            <a:t>Profit Margin</a:t>
          </a:r>
          <a:r>
            <a:rPr lang="en-US"/>
            <a:t> = 10%</a:t>
          </a:r>
        </a:p>
        <a:p>
          <a:pPr marL="36000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Commission</a:t>
          </a:r>
          <a:r>
            <a:rPr lang="en-US" sz="1100" b="1" baseline="0">
              <a:solidFill>
                <a:schemeClr val="tx1"/>
              </a:solidFill>
              <a:effectLst/>
              <a:latin typeface="+mn-lt"/>
              <a:ea typeface="+mn-ea"/>
              <a:cs typeface="+mn-cs"/>
            </a:rPr>
            <a:t> = 0</a:t>
          </a:r>
          <a:endParaRPr lang="en-US"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Large Loss Loading : </a:t>
          </a:r>
          <a:r>
            <a:rPr lang="en-US" sz="1100" b="0">
              <a:solidFill>
                <a:schemeClr val="tx1"/>
              </a:solidFill>
              <a:effectLst/>
              <a:latin typeface="+mn-lt"/>
              <a:ea typeface="+mn-ea"/>
              <a:cs typeface="+mn-cs"/>
            </a:rPr>
            <a:t>A loading was applied to account for the environmental pollution event that has occurred. This has been removed from the data and added as a large loss loading to adjust for the longer expected return period of such events.</a:t>
          </a:r>
        </a:p>
        <a:p>
          <a:pPr marL="0" marR="0" lvl="0" indent="0" defTabSz="914400" eaLnBrk="1" fontAlgn="auto" latinLnBrk="0" hangingPunct="1">
            <a:lnSpc>
              <a:spcPct val="100000"/>
            </a:lnSpc>
            <a:spcBef>
              <a:spcPts val="0"/>
            </a:spcBef>
            <a:spcAft>
              <a:spcPts val="0"/>
            </a:spcAft>
            <a:buClrTx/>
            <a:buSzTx/>
            <a:buFontTx/>
            <a:buNone/>
            <a:tabLst/>
            <a:defRPr/>
          </a:pPr>
          <a:r>
            <a:rPr lang="en-GB" b="1">
              <a:effectLst/>
            </a:rPr>
            <a:t>Final Premium (including</a:t>
          </a:r>
          <a:r>
            <a:rPr lang="en-GB" b="1" baseline="0">
              <a:effectLst/>
            </a:rPr>
            <a:t>  workings involved from getting final premium from risk premium)</a:t>
          </a:r>
          <a:r>
            <a:rPr lang="en-GB" b="1">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GB" b="0">
              <a:effectLst/>
            </a:rPr>
            <a:t>Final Premium=Pure Premium×(1+Expense Loading)×(1+Profit Margin)=$9,002,575 ×1.30×1.10=$12,873,683</a:t>
          </a:r>
        </a:p>
        <a:p>
          <a:endParaRPr lang="en-US" b="1"/>
        </a:p>
        <a:p>
          <a:r>
            <a:rPr lang="en-US" b="1"/>
            <a:t>6. Sensitivity Analysis</a:t>
          </a:r>
        </a:p>
        <a:p>
          <a:r>
            <a:rPr lang="en-US" b="1"/>
            <a:t>Scenario: A 6% increase in the severity of all claims.</a:t>
          </a:r>
        </a:p>
        <a:p>
          <a:r>
            <a:rPr lang="en-US" sz="1100">
              <a:solidFill>
                <a:schemeClr val="tx1"/>
              </a:solidFill>
              <a:effectLst/>
              <a:latin typeface="+mn-lt"/>
              <a:ea typeface="+mn-ea"/>
              <a:cs typeface="+mn-cs"/>
            </a:rPr>
            <a:t>A sensitivity analysis was conducted to evaluate the impact of increasing claims cost on the risk premium, specifically testing how a 6% increase in severity affects the pricing. This analysis highlights how sensitive the overall premium can be to increases in claim severity. It can help us understand how material any assumptions made are as well as the potential impact of future trends e.g. if an increase in claim severity is expected due to court inflation or changes in legal rulings.</a:t>
          </a:r>
        </a:p>
        <a:p>
          <a:r>
            <a:rPr lang="en-US" sz="1100">
              <a:solidFill>
                <a:schemeClr val="tx1"/>
              </a:solidFill>
              <a:effectLst/>
              <a:latin typeface="+mn-lt"/>
              <a:ea typeface="+mn-ea"/>
              <a:cs typeface="+mn-cs"/>
            </a:rPr>
            <a:t>New Loss Severity for claims: $621,338</a:t>
          </a:r>
        </a:p>
        <a:p>
          <a:r>
            <a:rPr lang="en-US" sz="1100">
              <a:solidFill>
                <a:schemeClr val="tx1"/>
              </a:solidFill>
              <a:effectLst/>
              <a:latin typeface="+mn-lt"/>
              <a:ea typeface="+mn-ea"/>
              <a:cs typeface="+mn-cs"/>
            </a:rPr>
            <a:t>New Risk Premium: $9,526,968 </a:t>
          </a:r>
        </a:p>
        <a:p>
          <a:r>
            <a:rPr lang="en-US" sz="1100">
              <a:solidFill>
                <a:schemeClr val="tx1"/>
              </a:solidFill>
              <a:effectLst/>
              <a:latin typeface="+mn-lt"/>
              <a:ea typeface="+mn-ea"/>
              <a:cs typeface="+mn-cs"/>
            </a:rPr>
            <a:t>New Office Premium: $13,623,564 </a:t>
          </a:r>
        </a:p>
        <a:p>
          <a:r>
            <a:rPr lang="en-US" b="1"/>
            <a:t>7. Key Assumptions</a:t>
          </a:r>
        </a:p>
        <a:p>
          <a:r>
            <a:rPr lang="en-US" b="1"/>
            <a:t>Inflation Adjustments</a:t>
          </a:r>
        </a:p>
        <a:p>
          <a:r>
            <a:rPr lang="en-US" b="1"/>
            <a:t>	Assumption:</a:t>
          </a:r>
          <a:r>
            <a:rPr lang="en-US" b="0"/>
            <a:t> Claims amounts from 2018 to 2023 were adjusted for inflation using industry-standard indices.</a:t>
          </a:r>
        </a:p>
        <a:p>
          <a:r>
            <a:rPr lang="en-US" b="0"/>
            <a:t>	</a:t>
          </a:r>
          <a:r>
            <a:rPr lang="en-US" b="1"/>
            <a:t>Rationale</a:t>
          </a:r>
          <a:r>
            <a:rPr lang="en-US" b="0"/>
            <a:t>: Inflation adjustments ensure that historical claims are compared on a like-for-like basis with claims from recent years.</a:t>
          </a:r>
        </a:p>
        <a:p>
          <a:r>
            <a:rPr lang="en-US" b="0"/>
            <a:t>	</a:t>
          </a:r>
          <a:r>
            <a:rPr lang="en-US" b="1"/>
            <a:t>Impact</a:t>
          </a:r>
          <a:r>
            <a:rPr lang="en-US" b="0"/>
            <a:t>: The gross tonnage directly affects the overall premium. All else equal, higher gross tonnage would lead to a higher premium as there is greater exposure to risk.</a:t>
          </a:r>
        </a:p>
        <a:p>
          <a:r>
            <a:rPr lang="en-US" b="1"/>
            <a:t>Exposure (Gross tonnage)</a:t>
          </a:r>
        </a:p>
        <a:p>
          <a:r>
            <a:rPr lang="en-US" b="1"/>
            <a:t>	Assumption</a:t>
          </a:r>
          <a:r>
            <a:rPr lang="en-US" b="0"/>
            <a:t>: 2024 gross tonnage is expected to be 40m as provided by the client.</a:t>
          </a:r>
        </a:p>
        <a:p>
          <a:r>
            <a:rPr lang="en-US" b="0"/>
            <a:t>	</a:t>
          </a:r>
          <a:r>
            <a:rPr lang="en-US" b="1"/>
            <a:t>Rationale</a:t>
          </a:r>
          <a:r>
            <a:rPr lang="en-US" b="0"/>
            <a:t>: Exposure is critical for adjusting the pure premium calculation, as it reflects the volume of risk the insurer covers.</a:t>
          </a:r>
        </a:p>
        <a:p>
          <a:r>
            <a:rPr lang="en-US" b="0"/>
            <a:t>	</a:t>
          </a:r>
          <a:r>
            <a:rPr lang="en-US" b="1"/>
            <a:t>Impact</a:t>
          </a:r>
          <a:r>
            <a:rPr lang="en-US" b="0"/>
            <a:t>: The gross tonnage directly affects the overall premium. All else equal, higher gross tonnage would lead to a higher premium as there is greater exposure to risk.</a:t>
          </a:r>
        </a:p>
        <a:p>
          <a:r>
            <a:rPr lang="en-US" b="1"/>
            <a:t>Large loss Event and Return Period</a:t>
          </a:r>
        </a:p>
        <a:p>
          <a:pPr marL="0" marR="0" lvl="0" indent="0" defTabSz="914400" eaLnBrk="1" fontAlgn="auto" latinLnBrk="0" hangingPunct="1">
            <a:lnSpc>
              <a:spcPct val="100000"/>
            </a:lnSpc>
            <a:spcBef>
              <a:spcPts val="0"/>
            </a:spcBef>
            <a:spcAft>
              <a:spcPts val="0"/>
            </a:spcAft>
            <a:buClrTx/>
            <a:buSzTx/>
            <a:buFontTx/>
            <a:buNone/>
            <a:tabLst/>
            <a:defRPr/>
          </a:pPr>
          <a:r>
            <a:rPr lang="en-AU" sz="1100" b="1" i="0" u="none" strike="noStrike">
              <a:solidFill>
                <a:schemeClr val="tx1"/>
              </a:solidFill>
              <a:effectLst/>
              <a:latin typeface="+mn-lt"/>
              <a:ea typeface="+mn-ea"/>
              <a:cs typeface="+mn-cs"/>
            </a:rPr>
            <a:t>	Assumption</a:t>
          </a:r>
          <a:r>
            <a:rPr lang="en-AU" sz="1100" b="0" i="0" u="none" strike="noStrike">
              <a:solidFill>
                <a:schemeClr val="tx1"/>
              </a:solidFill>
              <a:effectLst/>
              <a:latin typeface="+mn-lt"/>
              <a:ea typeface="+mn-ea"/>
              <a:cs typeface="+mn-cs"/>
            </a:rPr>
            <a:t>: A large loss event related to environmental pollution occurred in the dataset, with a claim cost  of $5.1 million. We assumed that large loss events of this size occur once every 20 years.</a:t>
          </a:r>
          <a:r>
            <a:rPr lang="en-AU">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AU" sz="1100" b="1" i="0" u="none" strike="noStrike">
              <a:solidFill>
                <a:schemeClr val="tx1"/>
              </a:solidFill>
              <a:effectLst/>
              <a:latin typeface="+mn-lt"/>
              <a:ea typeface="+mn-ea"/>
              <a:cs typeface="+mn-cs"/>
            </a:rPr>
            <a:t>	Rationale</a:t>
          </a:r>
          <a:r>
            <a:rPr lang="en-AU" sz="1100" b="0" i="0" u="none" strike="noStrike">
              <a:solidFill>
                <a:schemeClr val="tx1"/>
              </a:solidFill>
              <a:effectLst/>
              <a:latin typeface="+mn-lt"/>
              <a:ea typeface="+mn-ea"/>
              <a:cs typeface="+mn-cs"/>
            </a:rPr>
            <a:t>: Large loss events are rare but can have a significant financial impact, so the return period allows for the financial impact to be spread across several years, and adjust the premium to allow for the expected likelihood of such events reoccurring. This prevents clients facing significant premium increases following such events.</a:t>
          </a:r>
          <a:r>
            <a:rPr lang="en-AU">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AU" sz="1100" b="1" i="0" u="none" strike="noStrike">
              <a:solidFill>
                <a:schemeClr val="tx1"/>
              </a:solidFill>
              <a:effectLst/>
              <a:latin typeface="+mn-lt"/>
              <a:ea typeface="+mn-ea"/>
              <a:cs typeface="+mn-cs"/>
            </a:rPr>
            <a:t>	Impact</a:t>
          </a:r>
          <a:r>
            <a:rPr lang="en-AU" sz="1100" b="0" i="0" u="none" strike="noStrike">
              <a:solidFill>
                <a:schemeClr val="tx1"/>
              </a:solidFill>
              <a:effectLst/>
              <a:latin typeface="+mn-lt"/>
              <a:ea typeface="+mn-ea"/>
              <a:cs typeface="+mn-cs"/>
            </a:rPr>
            <a:t>: A large loss loading was calculated and added to the premium to account for the likelihood of large loss events.</a:t>
          </a:r>
          <a:r>
            <a:rPr lang="en-AU">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AU" sz="1100" b="1" i="0" u="none" strike="noStrike">
              <a:solidFill>
                <a:schemeClr val="tx1"/>
              </a:solidFill>
              <a:effectLst/>
              <a:latin typeface="+mn-lt"/>
              <a:ea typeface="+mn-ea"/>
              <a:cs typeface="+mn-cs"/>
            </a:rPr>
            <a:t>Expense and Profit Margin Loading</a:t>
          </a:r>
          <a:r>
            <a:rPr lang="en-AU">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AU" sz="1100" b="1" i="0" u="none" strike="noStrike">
              <a:solidFill>
                <a:schemeClr val="tx1"/>
              </a:solidFill>
              <a:effectLst/>
              <a:latin typeface="+mn-lt"/>
              <a:ea typeface="+mn-ea"/>
              <a:cs typeface="+mn-cs"/>
            </a:rPr>
            <a:t> 	Assumption</a:t>
          </a:r>
          <a:r>
            <a:rPr lang="en-AU" sz="1100" b="0" i="0" u="none" strike="noStrike">
              <a:solidFill>
                <a:schemeClr val="tx1"/>
              </a:solidFill>
              <a:effectLst/>
              <a:latin typeface="+mn-lt"/>
              <a:ea typeface="+mn-ea"/>
              <a:cs typeface="+mn-cs"/>
            </a:rPr>
            <a:t>: An expense loading of 30% was applied to account for administrative costs, claims handling, and other operational expenses, and a profit margin of 10% was added to ensure profitability. A 0% commission was applied as there is no commission payable to the broker who is acting as an intermediary between the client and insurer.</a:t>
          </a:r>
          <a:r>
            <a:rPr lang="en-AU">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AU" sz="1100" b="1" i="0" u="none" strike="noStrike">
              <a:solidFill>
                <a:schemeClr val="tx1"/>
              </a:solidFill>
              <a:effectLst/>
              <a:latin typeface="+mn-lt"/>
              <a:ea typeface="+mn-ea"/>
              <a:cs typeface="+mn-cs"/>
            </a:rPr>
            <a:t>	Rationale</a:t>
          </a:r>
          <a:r>
            <a:rPr lang="en-AU" sz="1100" b="0" i="0" u="none" strike="noStrike">
              <a:solidFill>
                <a:schemeClr val="tx1"/>
              </a:solidFill>
              <a:effectLst/>
              <a:latin typeface="+mn-lt"/>
              <a:ea typeface="+mn-ea"/>
              <a:cs typeface="+mn-cs"/>
            </a:rPr>
            <a:t>: These loadings are standard practices in insurance pricing to ensure the insurer can cover its costs and remain profitable.</a:t>
          </a:r>
          <a:r>
            <a:rPr lang="en-AU">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AU" sz="1100" b="1" i="0" u="none" strike="noStrike">
              <a:solidFill>
                <a:schemeClr val="tx1"/>
              </a:solidFill>
              <a:effectLst/>
              <a:latin typeface="+mn-lt"/>
              <a:ea typeface="+mn-ea"/>
              <a:cs typeface="+mn-cs"/>
            </a:rPr>
            <a:t>	Impact</a:t>
          </a:r>
          <a:r>
            <a:rPr lang="en-AU" sz="1100" b="0" i="0" u="none" strike="noStrike">
              <a:solidFill>
                <a:schemeClr val="tx1"/>
              </a:solidFill>
              <a:effectLst/>
              <a:latin typeface="+mn-lt"/>
              <a:ea typeface="+mn-ea"/>
              <a:cs typeface="+mn-cs"/>
            </a:rPr>
            <a:t>: These loadings were added on top of the pure premium to calculate the final premium charged to the policyholder.</a:t>
          </a:r>
          <a:r>
            <a:rPr lang="en-AU">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AU" sz="1100" b="1" i="0" u="none" strike="noStrike">
              <a:solidFill>
                <a:schemeClr val="tx1"/>
              </a:solidFill>
              <a:effectLst/>
              <a:latin typeface="+mn-lt"/>
              <a:ea typeface="+mn-ea"/>
              <a:cs typeface="+mn-cs"/>
            </a:rPr>
            <a:t>Commission: </a:t>
          </a:r>
          <a:r>
            <a:rPr lang="en-AU" sz="1100" b="0" i="0" u="none" strike="noStrike">
              <a:solidFill>
                <a:schemeClr val="tx1"/>
              </a:solidFill>
              <a:effectLst/>
              <a:latin typeface="+mn-lt"/>
              <a:ea typeface="+mn-ea"/>
              <a:cs typeface="+mn-cs"/>
            </a:rPr>
            <a:t>Nil commission applied in calculation of office premium.</a:t>
          </a:r>
          <a:r>
            <a:rPr lang="en-AU">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AU" sz="1100" b="1" i="0" u="none" strike="noStrike">
              <a:solidFill>
                <a:schemeClr val="tx1"/>
              </a:solidFill>
              <a:effectLst/>
              <a:latin typeface="+mn-lt"/>
              <a:ea typeface="+mn-ea"/>
              <a:cs typeface="+mn-cs"/>
            </a:rPr>
            <a:t>Claim development patterns: </a:t>
          </a:r>
          <a:r>
            <a:rPr lang="en-AU" sz="1100" b="0" i="0" u="none" strike="noStrike">
              <a:solidFill>
                <a:schemeClr val="tx1"/>
              </a:solidFill>
              <a:effectLst/>
              <a:latin typeface="+mn-lt"/>
              <a:ea typeface="+mn-ea"/>
              <a:cs typeface="+mn-cs"/>
            </a:rPr>
            <a:t>No adjustment is required for claims development patterns i.e. it is assumed all policy years are 100% developed.</a:t>
          </a:r>
          <a:r>
            <a:rPr lang="en-AU">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AU" sz="1100" b="1" i="0" u="none" strike="noStrike">
              <a:solidFill>
                <a:schemeClr val="tx1"/>
              </a:solidFill>
              <a:effectLst/>
              <a:latin typeface="+mn-lt"/>
              <a:ea typeface="+mn-ea"/>
              <a:cs typeface="+mn-cs"/>
            </a:rPr>
            <a:t>Deductibles: </a:t>
          </a:r>
          <a:r>
            <a:rPr lang="en-AU" sz="1100" b="0" i="0" u="none" strike="noStrike">
              <a:solidFill>
                <a:schemeClr val="tx1"/>
              </a:solidFill>
              <a:effectLst/>
              <a:latin typeface="+mn-lt"/>
              <a:ea typeface="+mn-ea"/>
              <a:cs typeface="+mn-cs"/>
            </a:rPr>
            <a:t>Deductibles in the upcoming policy period will be the same as deductible in prior policy periods.</a:t>
          </a:r>
          <a:r>
            <a:rPr lang="en-AU">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AU" sz="1100" b="1" i="0" u="none" strike="noStrike">
              <a:solidFill>
                <a:schemeClr val="tx1"/>
              </a:solidFill>
              <a:effectLst/>
              <a:latin typeface="+mn-lt"/>
              <a:ea typeface="+mn-ea"/>
              <a:cs typeface="+mn-cs"/>
            </a:rPr>
            <a:t>Policy Period: </a:t>
          </a:r>
          <a:r>
            <a:rPr lang="en-AU" sz="1100" b="0" i="0" u="none" strike="noStrike">
              <a:solidFill>
                <a:schemeClr val="tx1"/>
              </a:solidFill>
              <a:effectLst/>
              <a:latin typeface="+mn-lt"/>
              <a:ea typeface="+mn-ea"/>
              <a:cs typeface="+mn-cs"/>
            </a:rPr>
            <a:t>Individual policies run from 1/1 - 31/12 each year</a:t>
          </a:r>
          <a:r>
            <a:rPr lang="en-AU">
              <a:effectLst/>
            </a:rPr>
            <a:t> </a:t>
          </a:r>
        </a:p>
        <a:p>
          <a:endParaRPr lang="en-US"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yet" refreshedDate="45963.490291203707" createdVersion="8" refreshedVersion="8" minRefreshableVersion="3" recordCount="100" xr:uid="{F142B9BB-0108-F44D-938C-6C906DEE1EAA}">
  <cacheSource type="worksheet">
    <worksheetSource ref="A1:S101" sheet="Claims Data"/>
  </cacheSource>
  <cacheFields count="19">
    <cacheField name="Claim ID" numFmtId="0">
      <sharedItems/>
    </cacheField>
    <cacheField name="Date of Claim" numFmtId="14">
      <sharedItems containsSemiMixedTypes="0" containsNonDate="0" containsDate="1" containsString="0" minDate="2018-03-19T00:00:00" maxDate="2023-08-02T00:00:00"/>
    </cacheField>
    <cacheField name="Type of Claim" numFmtId="0">
      <sharedItems count="5">
        <s v="Collision Liability"/>
        <s v="Cargo Liability"/>
        <s v="Damage to Other Vessels"/>
        <s v="Environmental Pollution"/>
        <s v="Injury to Third Parties"/>
      </sharedItems>
    </cacheField>
    <cacheField name="Claim Incurred ($)" numFmtId="44">
      <sharedItems containsSemiMixedTypes="0" containsString="0" containsNumber="1" minValue="87924.45" maxValue="5000000"/>
    </cacheField>
    <cacheField name="Claim Status" numFmtId="0">
      <sharedItems/>
    </cacheField>
    <cacheField name="Gross claim amount (HINT: Gross claim amount = Claim incurred + deductible)" numFmtId="44">
      <sharedItems containsSemiMixedTypes="0" containsString="0" containsNumber="1" minValue="111522.66" maxValue="5018723.79"/>
    </cacheField>
    <cacheField name="Policy Limits ($)" numFmtId="6">
      <sharedItems containsSemiMixedTypes="0" containsString="0" containsNumber="1" containsInteger="1" minValue="500000" maxValue="10000000"/>
    </cacheField>
    <cacheField name="Deductible ($)" numFmtId="44">
      <sharedItems containsSemiMixedTypes="0" containsString="0" containsNumber="1" minValue="1143.25" maxValue="48127.72"/>
    </cacheField>
    <cacheField name="Cause of Loss" numFmtId="0">
      <sharedItems count="4">
        <s v="Human Error"/>
        <s v="Technical Failure"/>
        <s v="Criminal Activity"/>
        <s v="Natural Disaster"/>
      </sharedItems>
    </cacheField>
    <cacheField name="Location" numFmtId="0">
      <sharedItems count="5">
        <s v="Indian Ocean"/>
        <s v="Atlantic Ocean"/>
        <s v="Mediterranean Sea"/>
        <s v="Pacific Ocean"/>
        <s v="North Sea"/>
      </sharedItems>
    </cacheField>
    <cacheField name="Insured Party" numFmtId="0">
      <sharedItems/>
    </cacheField>
    <cacheField name="Gross Tonnage" numFmtId="0">
      <sharedItems containsSemiMixedTypes="0" containsString="0" containsNumber="1" containsInteger="1" minValue="11335" maxValue="119854"/>
    </cacheField>
    <cacheField name="Prior Claims History" numFmtId="0">
      <sharedItems containsSemiMixedTypes="0" containsString="0" containsNumber="1" containsInteger="1" minValue="0" maxValue="9"/>
    </cacheField>
    <cacheField name="Inflation Index" numFmtId="0">
      <sharedItems containsSemiMixedTypes="0" containsString="0" containsNumber="1" minValue="1.03" maxValue="1.2053063131199999"/>
    </cacheField>
    <cacheField name="Gross inflation adjusted claim (HINT: Gross inflation adjusted claim = gross claim * inflation index)" numFmtId="44">
      <sharedItems containsSemiMixedTypes="0" containsString="0" containsNumber="1" minValue="114868.3398" maxValue="5272671.2137740003" count="86">
        <n v="860668.14299326844"/>
        <n v="385109.16404634004"/>
        <n v="859096.41782140615"/>
        <n v="230980.02986951999"/>
        <n v="151224.78539999999"/>
        <n v="292148.10183094471"/>
        <n v="839306.69685395993"/>
        <n v="986979.98196599993"/>
        <n v="875364.36119087401"/>
        <n v="724915.23449692316"/>
        <n v="389043.47498507996"/>
        <n v="243791.12689676642"/>
        <n v="197717.71952999997"/>
        <n v="144496.03230000002"/>
        <n v="834103.31812228879"/>
        <n v="723383.08527087432"/>
        <n v="401925.54787559999"/>
        <n v="565719.67839085159"/>
        <n v="226542.81110399999"/>
        <n v="572283.87458602327"/>
        <n v="114868.3398"/>
        <n v="721227.21725015994"/>
        <n v="296334.39158535964"/>
        <n v="241265.34968058052"/>
        <n v="942280.01971799997"/>
        <n v="627629.14033551549"/>
        <n v="435056.68324080005"/>
        <n v="179608.16836939682"/>
        <n v="772677.25269999995"/>
        <n v="200486.89845614851"/>
        <n v="495500.97070800001"/>
        <n v="792093.88711876329"/>
        <n v="253937.60239032001"/>
        <n v="623506.88426707685"/>
        <n v="578931.67970130593"/>
        <n v="336875.81683932"/>
        <n v="790420.77405226452"/>
        <n v="326425.62240000005"/>
        <n v="537978.35713799996"/>
        <n v="976909.97302817053"/>
        <n v="589258.52093375998"/>
        <n v="437462.73300000007"/>
        <n v="615427.29529678449"/>
        <n v="362142.69481496955"/>
        <n v="544356.08747400006"/>
        <n v="767735.83173347998"/>
        <n v="897942.85000222328"/>
        <n v="299578.27573326556"/>
        <n v="329558.52210599999"/>
        <n v="657147.48796404002"/>
        <n v="909262.87276553642"/>
        <n v="440253.96090000006"/>
        <n v="606431.87622307311"/>
        <n v="726394.56318264315"/>
        <n v="753067.13831999991"/>
        <n v="886685.85677772004"/>
        <n v="688509.70804278005"/>
        <n v="509621.09280000004"/>
        <n v="753835.72781888139"/>
        <n v="1007213.2677927852"/>
        <n v="922879.64011799986"/>
        <n v="882292.14041651995"/>
        <n v="553338.94280458684"/>
        <n v="696434.0919708031"/>
        <n v="738301.11599999992"/>
        <n v="749426.49413999985"/>
        <n v="644766.35081904009"/>
        <n v="668643.56682728394"/>
        <n v="576610.75736155757"/>
        <n v="624897.97179999994"/>
        <n v="773487.53768556006"/>
        <n v="818204.02313999983"/>
        <n v="664109.34134361136"/>
        <n v="730158.77497539402"/>
        <n v="848031.66130000004"/>
        <n v="650143.84986071999"/>
        <n v="632123.87335200002"/>
        <n v="516361.27890000003"/>
        <n v="796692.16381612688"/>
        <n v="893989.35257931915"/>
        <n v="725207.40074722341"/>
        <n v="623960.50699999987"/>
        <n v="669648.16535654163"/>
        <n v="695389.30950037518"/>
        <n v="690673.71499735559"/>
        <n v="5272671.2137740003"/>
      </sharedItems>
    </cacheField>
    <cacheField name="Net inflation adjusted claim  (HINT: Net inflation adjusted claim = Gross inflation adjusted claim - deductible)" numFmtId="44">
      <sharedItems containsSemiMixedTypes="0" containsString="0" containsNumber="1" minValue="91270.129799999995" maxValue="5253947.4237740003"/>
    </cacheField>
    <cacheField name="Capped net adjusted incurred claim (HINT: Capped net adjusted incurred claim = net inflation adjusted claim capped at policy limit)" numFmtId="44">
      <sharedItems containsSemiMixedTypes="0" containsString="0" containsNumber="1" minValue="91270.129799999995" maxValue="5253947.4237740003" count="85">
        <n v="848322.2229932684"/>
        <n v="351392.40404634003"/>
        <n v="824699.50782140612"/>
        <n v="219276.14986951998"/>
        <n v="103097.06539999999"/>
        <n v="281562.56183094473"/>
        <n v="821961.32685395994"/>
        <n v="961379.64196599997"/>
        <n v="837179.92119087395"/>
        <n v="723771.98449692316"/>
        <n v="346724.50498507998"/>
        <n v="218156.43689676642"/>
        <n v="168261.60952999996"/>
        <n v="129517.80230000002"/>
        <n v="809400.64812228875"/>
        <n v="713950.58527087432"/>
        <n v="385005.1778756"/>
        <n v="500000"/>
        <n v="206895.62110399999"/>
        <n v="526602.58458602324"/>
        <n v="91270.129799999995"/>
        <n v="702524.48725015996"/>
        <n v="259406.01158535964"/>
        <n v="225826.07968058053"/>
        <n v="917777.63971799996"/>
        <n v="615646.60033551545"/>
        <n v="405308.06324080005"/>
        <n v="146688.03836939682"/>
        <n v="753741.00269999995"/>
        <n v="184757.9484561485"/>
        <n v="463697.03070800001"/>
        <n v="764701.34711876325"/>
        <n v="232953.22239032001"/>
        <n v="588323.62426707684"/>
        <n v="312036.53683931998"/>
        <n v="749137.23405226448"/>
        <n v="299030.88240000006"/>
        <n v="518694.07713799994"/>
        <n v="938616.52302817057"/>
        <n v="563365.25093375996"/>
        <n v="405615.28300000005"/>
        <n v="597132.54529678449"/>
        <n v="345659.15481496957"/>
        <n v="509057.44747400004"/>
        <n v="734787.98173348"/>
        <n v="868360.46000222326"/>
        <n v="278184.04573326558"/>
        <n v="310610.99210599996"/>
        <n v="627863.10796404001"/>
        <n v="870315.59276553639"/>
        <n v="411306.58090000006"/>
        <n v="589036.03622307314"/>
        <n v="687446.98318264319"/>
        <n v="720119.68831999996"/>
        <n v="851737.60677772004"/>
        <n v="659562.14804278"/>
        <n v="487682.61280000006"/>
        <n v="720888.34781888139"/>
        <n v="969264.88779278519"/>
        <n v="883932.19011799991"/>
        <n v="852809.66041651997"/>
        <n v="525856.56280458684"/>
        <n v="663586.51197080314"/>
        <n v="705353.66599999997"/>
        <n v="719944.0441399999"/>
        <n v="616926.97081904009"/>
        <n v="635696.11682728399"/>
        <n v="547136.9173615576"/>
        <n v="592050.39179999998"/>
        <n v="735539.15768556006"/>
        <n v="779256.57313999988"/>
        <n v="636269.96134361136"/>
        <n v="697211.32497539406"/>
        <n v="818549.18130000005"/>
        <n v="617296.26986072003"/>
        <n v="604284.49335200002"/>
        <n v="488878.89890000003"/>
        <n v="758743.78381612687"/>
        <n v="855041.9025793192"/>
        <n v="697368.0207472234"/>
        <n v="591013.05699999991"/>
        <n v="636800.58535654168"/>
        <n v="662441.85950037523"/>
        <n v="662834.33499735559"/>
        <n v="5253947.4237740003"/>
      </sharedItems>
    </cacheField>
    <cacheField name="Attritional claim flag - (set equal to 1 if claim is less than 1m, otherwise 0)" numFmtId="0">
      <sharedItems containsSemiMixedTypes="0" containsString="0" containsNumber="1" containsInteger="1" minValue="0" maxValue="1"/>
    </cacheField>
    <cacheField name="Year" numFmtId="0">
      <sharedItems containsSemiMixedTypes="0" containsString="0" containsNumber="1" containsInteger="1" minValue="2018" maxValue="2023" count="6">
        <n v="2019"/>
        <n v="2020"/>
        <n v="2018"/>
        <n v="2021"/>
        <n v="2023"/>
        <n v="202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LM-00001"/>
    <d v="2019-07-18T00:00:00"/>
    <x v="0"/>
    <n v="737423.28"/>
    <s v="Closed"/>
    <n v="749769.20000000007"/>
    <n v="5000000"/>
    <n v="12345.92"/>
    <x v="0"/>
    <x v="0"/>
    <s v="Company 9"/>
    <n v="55051"/>
    <n v="4"/>
    <n v="1.1479107743999999"/>
    <x v="0"/>
    <n v="848322.2229932684"/>
    <x v="0"/>
    <n v="1"/>
    <x v="0"/>
  </r>
  <r>
    <s v="CLM-00002"/>
    <d v="2020-05-27T00:00:00"/>
    <x v="1"/>
    <n v="315189.74"/>
    <s v="Closed"/>
    <n v="348906.5"/>
    <n v="5000000"/>
    <n v="33716.76"/>
    <x v="1"/>
    <x v="1"/>
    <s v="Company 4"/>
    <n v="28149"/>
    <n v="6"/>
    <n v="1.1037603600000001"/>
    <x v="1"/>
    <n v="351392.40404634003"/>
    <x v="1"/>
    <n v="1"/>
    <x v="1"/>
  </r>
  <r>
    <s v="CLM-00003"/>
    <d v="2018-11-23T00:00:00"/>
    <x v="2"/>
    <n v="678364.99"/>
    <s v="Closed"/>
    <n v="712761.9"/>
    <n v="5000000"/>
    <n v="34396.910000000003"/>
    <x v="2"/>
    <x v="2"/>
    <s v="Company 2"/>
    <n v="67480"/>
    <n v="3"/>
    <n v="1.2053063131199999"/>
    <x v="2"/>
    <n v="824699.50782140612"/>
    <x v="2"/>
    <n v="1"/>
    <x v="2"/>
  </r>
  <r>
    <s v="CLM-00004"/>
    <d v="2021-01-05T00:00:00"/>
    <x v="3"/>
    <n v="203840.58"/>
    <s v="Open"/>
    <n v="215544.46"/>
    <n v="5000000"/>
    <n v="11703.88"/>
    <x v="3"/>
    <x v="3"/>
    <s v="Company 17"/>
    <n v="103897"/>
    <n v="7"/>
    <n v="1.071612"/>
    <x v="3"/>
    <n v="219276.14986951998"/>
    <x v="3"/>
    <n v="1"/>
    <x v="3"/>
  </r>
  <r>
    <s v="CLM-00005"/>
    <d v="2023-06-14T00:00:00"/>
    <x v="4"/>
    <n v="98692.46"/>
    <s v="In Litigation"/>
    <n v="146820.18"/>
    <n v="1000000"/>
    <n v="48127.72"/>
    <x v="0"/>
    <x v="0"/>
    <s v="Company 12"/>
    <n v="12025"/>
    <n v="8"/>
    <n v="1.03"/>
    <x v="4"/>
    <n v="103097.06539999999"/>
    <x v="4"/>
    <n v="1"/>
    <x v="4"/>
  </r>
  <r>
    <s v="CLM-00006"/>
    <d v="2019-04-29T00:00:00"/>
    <x v="0"/>
    <n v="243918.65"/>
    <s v="Closed"/>
    <n v="254504.19"/>
    <n v="5000000"/>
    <n v="10585.54"/>
    <x v="1"/>
    <x v="1"/>
    <s v="Company 3"/>
    <n v="63298"/>
    <n v="2"/>
    <n v="1.1479107743999999"/>
    <x v="5"/>
    <n v="281562.56183094473"/>
    <x v="5"/>
    <n v="1"/>
    <x v="0"/>
  </r>
  <r>
    <s v="CLM-00007"/>
    <d v="2021-07-21T00:00:00"/>
    <x v="3"/>
    <n v="765873.46"/>
    <s v="Closed"/>
    <n v="783218.83"/>
    <n v="5000000"/>
    <n v="17345.37"/>
    <x v="3"/>
    <x v="4"/>
    <s v="Company 11"/>
    <n v="74908"/>
    <n v="1"/>
    <n v="1.071612"/>
    <x v="6"/>
    <n v="821961.32685395994"/>
    <x v="6"/>
    <n v="1"/>
    <x v="3"/>
  </r>
  <r>
    <s v="CLM-00008"/>
    <d v="2022-03-18T00:00:00"/>
    <x v="2"/>
    <n v="913843.77"/>
    <s v="Closed"/>
    <n v="939444.11"/>
    <n v="5000000"/>
    <n v="25600.34"/>
    <x v="2"/>
    <x v="1"/>
    <s v="Company 5"/>
    <n v="41599"/>
    <n v="0"/>
    <n v="1.0506"/>
    <x v="7"/>
    <n v="961379.64196599997"/>
    <x v="7"/>
    <n v="1"/>
    <x v="5"/>
  </r>
  <r>
    <s v="CLM-00009"/>
    <d v="2020-11-15T00:00:00"/>
    <x v="1"/>
    <n v="754890.21"/>
    <s v="Closed"/>
    <n v="793074.64999999991"/>
    <n v="5000000"/>
    <n v="38184.44"/>
    <x v="1"/>
    <x v="2"/>
    <s v="Company 8"/>
    <n v="39245"/>
    <n v="6"/>
    <n v="1.1037603600000001"/>
    <x v="8"/>
    <n v="837179.92119087395"/>
    <x v="8"/>
    <n v="1"/>
    <x v="1"/>
  </r>
  <r>
    <s v="CLM-00010"/>
    <d v="2018-06-07T00:00:00"/>
    <x v="0"/>
    <n v="600293.27"/>
    <s v="Open"/>
    <n v="601436.52"/>
    <n v="5000000"/>
    <n v="1143.25"/>
    <x v="0"/>
    <x v="1"/>
    <s v="Company 10"/>
    <n v="21018"/>
    <n v="5"/>
    <n v="1.2053063131199999"/>
    <x v="9"/>
    <n v="723771.98449692316"/>
    <x v="9"/>
    <n v="1"/>
    <x v="2"/>
  </r>
  <r>
    <s v="CLM-00011"/>
    <d v="2021-02-24T00:00:00"/>
    <x v="3"/>
    <n v="320726.12"/>
    <s v="Closed"/>
    <n v="363045.08999999997"/>
    <n v="5000000"/>
    <n v="42318.97"/>
    <x v="1"/>
    <x v="4"/>
    <s v="Company 7"/>
    <n v="89665"/>
    <n v="7"/>
    <n v="1.071612"/>
    <x v="10"/>
    <n v="346724.50498507998"/>
    <x v="10"/>
    <n v="1"/>
    <x v="3"/>
  </r>
  <r>
    <s v="CLM-00012"/>
    <d v="2020-12-15T00:00:00"/>
    <x v="1"/>
    <n v="195238.55"/>
    <s v="Closed"/>
    <n v="220873.24"/>
    <n v="1000000"/>
    <n v="25634.69"/>
    <x v="2"/>
    <x v="2"/>
    <s v="Company 6"/>
    <n v="75061"/>
    <n v="8"/>
    <n v="1.1037603600000001"/>
    <x v="11"/>
    <n v="218156.43689676642"/>
    <x v="11"/>
    <n v="1"/>
    <x v="1"/>
  </r>
  <r>
    <s v="CLM-00013"/>
    <d v="2022-08-21T00:00:00"/>
    <x v="0"/>
    <n v="158738.94"/>
    <s v="In Litigation"/>
    <n v="188195.05"/>
    <n v="1000000"/>
    <n v="29456.11"/>
    <x v="0"/>
    <x v="0"/>
    <s v="Company 13"/>
    <n v="29392"/>
    <n v="3"/>
    <n v="1.0506"/>
    <x v="12"/>
    <n v="168261.60952999996"/>
    <x v="12"/>
    <n v="1"/>
    <x v="5"/>
  </r>
  <r>
    <s v="CLM-00014"/>
    <d v="2023-01-11T00:00:00"/>
    <x v="2"/>
    <n v="125309.18"/>
    <s v="Closed"/>
    <n v="140287.41"/>
    <n v="1000000"/>
    <n v="14978.23"/>
    <x v="2"/>
    <x v="3"/>
    <s v="Company 19"/>
    <n v="34473"/>
    <n v="2"/>
    <n v="1.03"/>
    <x v="13"/>
    <n v="129517.80230000002"/>
    <x v="13"/>
    <n v="1"/>
    <x v="4"/>
  </r>
  <r>
    <s v="CLM-00015"/>
    <d v="2019-09-30T00:00:00"/>
    <x v="3"/>
    <n v="701924.64"/>
    <s v="Open"/>
    <n v="726627.31"/>
    <n v="5000000"/>
    <n v="24702.67"/>
    <x v="1"/>
    <x v="1"/>
    <s v="Company 14"/>
    <n v="80367"/>
    <n v="6"/>
    <n v="1.1479107743999999"/>
    <x v="14"/>
    <n v="809400.64812228875"/>
    <x v="14"/>
    <n v="1"/>
    <x v="0"/>
  </r>
  <r>
    <s v="CLM-00016"/>
    <d v="2018-07-13T00:00:00"/>
    <x v="4"/>
    <n v="590732.85"/>
    <s v="Closed"/>
    <n v="600165.35"/>
    <n v="5000000"/>
    <n v="9432.5"/>
    <x v="3"/>
    <x v="2"/>
    <s v="Company 1"/>
    <n v="57938"/>
    <n v="4"/>
    <n v="1.2053063131199999"/>
    <x v="15"/>
    <n v="713950.58527087432"/>
    <x v="15"/>
    <n v="1"/>
    <x v="2"/>
  </r>
  <r>
    <s v="CLM-00017"/>
    <d v="2021-04-02T00:00:00"/>
    <x v="0"/>
    <n v="358145.93"/>
    <s v="Closed"/>
    <n v="375066.3"/>
    <n v="2000000"/>
    <n v="16920.37"/>
    <x v="0"/>
    <x v="3"/>
    <s v="Company 15"/>
    <n v="60574"/>
    <n v="7"/>
    <n v="1.071612"/>
    <x v="16"/>
    <n v="385005.1778756"/>
    <x v="16"/>
    <n v="1"/>
    <x v="3"/>
  </r>
  <r>
    <s v="CLM-00018"/>
    <d v="2019-06-25T00:00:00"/>
    <x v="2"/>
    <n v="453896.75"/>
    <s v="Closed"/>
    <n v="492825.48"/>
    <n v="500000"/>
    <n v="38928.730000000003"/>
    <x v="2"/>
    <x v="4"/>
    <s v="Company 8"/>
    <n v="51180"/>
    <n v="5"/>
    <n v="1.1479107743999999"/>
    <x v="17"/>
    <n v="526790.94839085161"/>
    <x v="17"/>
    <n v="1"/>
    <x v="0"/>
  </r>
  <r>
    <s v="CLM-00019"/>
    <d v="2022-07-12T00:00:00"/>
    <x v="1"/>
    <n v="195984.65"/>
    <s v="In Litigation"/>
    <n v="215631.84"/>
    <n v="500000"/>
    <n v="19647.189999999999"/>
    <x v="1"/>
    <x v="0"/>
    <s v="Company 10"/>
    <n v="29672"/>
    <n v="3"/>
    <n v="1.0506"/>
    <x v="18"/>
    <n v="206895.62110399999"/>
    <x v="18"/>
    <n v="1"/>
    <x v="5"/>
  </r>
  <r>
    <s v="CLM-00020"/>
    <d v="2020-03-20T00:00:00"/>
    <x v="3"/>
    <n v="472804.33"/>
    <s v="Open"/>
    <n v="518485.62"/>
    <n v="5000000"/>
    <n v="45681.29"/>
    <x v="3"/>
    <x v="1"/>
    <s v="Company 11"/>
    <n v="92502"/>
    <n v="8"/>
    <n v="1.1037603600000001"/>
    <x v="19"/>
    <n v="526602.58458602324"/>
    <x v="19"/>
    <n v="1"/>
    <x v="1"/>
  </r>
  <r>
    <s v="CLM-00021"/>
    <d v="2023-05-30T00:00:00"/>
    <x v="4"/>
    <n v="87924.45"/>
    <s v="Closed"/>
    <n v="111522.66"/>
    <n v="500000"/>
    <n v="23598.21"/>
    <x v="1"/>
    <x v="4"/>
    <s v="Company 13"/>
    <n v="47624"/>
    <n v="4"/>
    <n v="1.03"/>
    <x v="20"/>
    <n v="91270.129799999995"/>
    <x v="20"/>
    <n v="1"/>
    <x v="4"/>
  </r>
  <r>
    <s v="CLM-00022"/>
    <d v="2021-12-03T00:00:00"/>
    <x v="0"/>
    <n v="654327.44999999995"/>
    <s v="Closed"/>
    <n v="673030.17999999993"/>
    <n v="5000000"/>
    <n v="18702.73"/>
    <x v="0"/>
    <x v="1"/>
    <s v="Company 16"/>
    <n v="55608"/>
    <n v="7"/>
    <n v="1.071612"/>
    <x v="21"/>
    <n v="702524.48725015996"/>
    <x v="21"/>
    <n v="1"/>
    <x v="3"/>
  </r>
  <r>
    <s v="CLM-00023"/>
    <d v="2020-06-11T00:00:00"/>
    <x v="2"/>
    <n v="231548.73"/>
    <s v="Open"/>
    <n v="268477.11"/>
    <n v="500000"/>
    <n v="36928.379999999997"/>
    <x v="2"/>
    <x v="3"/>
    <s v="Company 2"/>
    <n v="79867"/>
    <n v="5"/>
    <n v="1.1037603600000001"/>
    <x v="22"/>
    <n v="259406.01158535964"/>
    <x v="22"/>
    <n v="1"/>
    <x v="1"/>
  </r>
  <r>
    <s v="CLM-00024"/>
    <d v="2019-08-18T00:00:00"/>
    <x v="3"/>
    <n v="194738.52"/>
    <s v="In Litigation"/>
    <n v="210177.78999999998"/>
    <n v="500000"/>
    <n v="15439.27"/>
    <x v="3"/>
    <x v="0"/>
    <s v="Company 17"/>
    <n v="111376"/>
    <n v="8"/>
    <n v="1.1479107743999999"/>
    <x v="23"/>
    <n v="225826.07968058053"/>
    <x v="23"/>
    <n v="1"/>
    <x v="0"/>
  </r>
  <r>
    <s v="CLM-00025"/>
    <d v="2022-09-14T00:00:00"/>
    <x v="1"/>
    <n v="872394.65"/>
    <s v="Closed"/>
    <n v="896897.03"/>
    <n v="10000000"/>
    <n v="24502.38"/>
    <x v="0"/>
    <x v="2"/>
    <s v="Company 4"/>
    <n v="38224"/>
    <n v="2"/>
    <n v="1.0506"/>
    <x v="24"/>
    <n v="917777.63971799996"/>
    <x v="24"/>
    <n v="1"/>
    <x v="5"/>
  </r>
  <r>
    <s v="CLM-00026"/>
    <d v="2018-05-03T00:00:00"/>
    <x v="0"/>
    <n v="508739.15"/>
    <s v="Closed"/>
    <n v="520721.69"/>
    <n v="5000000"/>
    <n v="11982.54"/>
    <x v="1"/>
    <x v="4"/>
    <s v="Company 9"/>
    <n v="40513"/>
    <n v="3"/>
    <n v="1.2053063131199999"/>
    <x v="25"/>
    <n v="615646.60033551545"/>
    <x v="25"/>
    <n v="1"/>
    <x v="2"/>
  </r>
  <r>
    <s v="CLM-00027"/>
    <d v="2021-10-28T00:00:00"/>
    <x v="2"/>
    <n v="376234.78"/>
    <s v="Closed"/>
    <n v="405983.4"/>
    <n v="2000000"/>
    <n v="29748.62"/>
    <x v="2"/>
    <x v="0"/>
    <s v="Company 6"/>
    <n v="53649"/>
    <n v="7"/>
    <n v="1.071612"/>
    <x v="26"/>
    <n v="405308.06324080005"/>
    <x v="26"/>
    <n v="1"/>
    <x v="3"/>
  </r>
  <r>
    <s v="CLM-00028"/>
    <d v="2020-04-16T00:00:00"/>
    <x v="3"/>
    <n v="129803.75"/>
    <s v="In Litigation"/>
    <n v="162723.88"/>
    <n v="1000000"/>
    <n v="32920.129999999997"/>
    <x v="3"/>
    <x v="3"/>
    <s v="Company 18"/>
    <n v="65255"/>
    <n v="4"/>
    <n v="1.1037603600000001"/>
    <x v="27"/>
    <n v="146688.03836939682"/>
    <x v="27"/>
    <n v="1"/>
    <x v="1"/>
  </r>
  <r>
    <s v="CLM-00029"/>
    <d v="2023-07-07T00:00:00"/>
    <x v="1"/>
    <n v="731235.83999999997"/>
    <s v="Closed"/>
    <n v="750172.09"/>
    <n v="5000000"/>
    <n v="18936.25"/>
    <x v="1"/>
    <x v="1"/>
    <s v="Company 14"/>
    <n v="22681"/>
    <n v="2"/>
    <n v="1.03"/>
    <x v="28"/>
    <n v="753741.00269999995"/>
    <x v="28"/>
    <n v="1"/>
    <x v="4"/>
  </r>
  <r>
    <s v="CLM-00030"/>
    <d v="2019-01-22T00:00:00"/>
    <x v="0"/>
    <n v="158924.78"/>
    <s v="Closed"/>
    <n v="174653.73"/>
    <n v="1000000"/>
    <n v="15728.95"/>
    <x v="0"/>
    <x v="4"/>
    <s v="Company 1"/>
    <n v="52808"/>
    <n v="6"/>
    <n v="1.1479107743999999"/>
    <x v="29"/>
    <n v="184757.9484561485"/>
    <x v="29"/>
    <n v="1"/>
    <x v="0"/>
  </r>
  <r>
    <s v="CLM-00031"/>
    <d v="2022-11-09T00:00:00"/>
    <x v="2"/>
    <n v="439832.24"/>
    <s v="Closed"/>
    <n v="471636.18"/>
    <n v="2000000"/>
    <n v="31803.94"/>
    <x v="2"/>
    <x v="1"/>
    <s v="Company 20"/>
    <n v="16661"/>
    <n v="8"/>
    <n v="1.0506"/>
    <x v="30"/>
    <n v="463697.03070800001"/>
    <x v="30"/>
    <n v="1"/>
    <x v="5"/>
  </r>
  <r>
    <s v="CLM-00032"/>
    <d v="2020-08-13T00:00:00"/>
    <x v="3"/>
    <n v="690239.58"/>
    <s v="In Litigation"/>
    <n v="717632.12"/>
    <n v="5000000"/>
    <n v="27392.54"/>
    <x v="3"/>
    <x v="2"/>
    <s v="Company 3"/>
    <n v="93758"/>
    <n v="7"/>
    <n v="1.1037603600000001"/>
    <x v="31"/>
    <n v="764701.34711876325"/>
    <x v="31"/>
    <n v="1"/>
    <x v="1"/>
  </r>
  <r>
    <s v="CLM-00033"/>
    <d v="2021-06-03T00:00:00"/>
    <x v="4"/>
    <n v="215983.48"/>
    <s v="Closed"/>
    <n v="236967.86000000002"/>
    <n v="2000000"/>
    <n v="20984.38"/>
    <x v="1"/>
    <x v="0"/>
    <s v="Company 19"/>
    <n v="34693"/>
    <n v="4"/>
    <n v="1.071612"/>
    <x v="32"/>
    <n v="232953.22239032001"/>
    <x v="32"/>
    <n v="1"/>
    <x v="3"/>
  </r>
  <r>
    <s v="CLM-00034"/>
    <d v="2019-11-16T00:00:00"/>
    <x v="0"/>
    <n v="507983.42"/>
    <s v="Open"/>
    <n v="543166.67999999993"/>
    <n v="5000000"/>
    <n v="35183.26"/>
    <x v="0"/>
    <x v="3"/>
    <s v="Company 8"/>
    <n v="48221"/>
    <n v="2"/>
    <n v="1.1479107743999999"/>
    <x v="33"/>
    <n v="588323.62426707684"/>
    <x v="33"/>
    <n v="1"/>
    <x v="0"/>
  </r>
  <r>
    <s v="CLM-00035"/>
    <d v="2018-12-29T00:00:00"/>
    <x v="2"/>
    <n v="451973.22"/>
    <s v="Closed"/>
    <n v="480319.12999999995"/>
    <n v="500000"/>
    <n v="28345.91"/>
    <x v="2"/>
    <x v="2"/>
    <s v="Company 5"/>
    <n v="20811"/>
    <n v="4"/>
    <n v="1.2053063131199999"/>
    <x v="34"/>
    <n v="550585.76970130589"/>
    <x v="17"/>
    <n v="1"/>
    <x v="2"/>
  </r>
  <r>
    <s v="CLM-00036"/>
    <d v="2021-08-15T00:00:00"/>
    <x v="1"/>
    <n v="289524.33"/>
    <s v="Closed"/>
    <n v="314363.61"/>
    <n v="2000000"/>
    <n v="24839.279999999999"/>
    <x v="1"/>
    <x v="1"/>
    <s v="Company 7"/>
    <n v="28840"/>
    <n v="3"/>
    <n v="1.071612"/>
    <x v="35"/>
    <n v="312036.53683931998"/>
    <x v="34"/>
    <n v="1"/>
    <x v="3"/>
  </r>
  <r>
    <s v="CLM-00037"/>
    <d v="2020-02-06T00:00:00"/>
    <x v="3"/>
    <n v="674832.75"/>
    <s v="Open"/>
    <n v="716116.29"/>
    <n v="5000000"/>
    <n v="41283.54"/>
    <x v="3"/>
    <x v="3"/>
    <s v="Company 12"/>
    <n v="112290"/>
    <n v="5"/>
    <n v="1.1037603600000001"/>
    <x v="36"/>
    <n v="749137.23405226448"/>
    <x v="35"/>
    <n v="1"/>
    <x v="1"/>
  </r>
  <r>
    <s v="CLM-00038"/>
    <d v="2023-04-11T00:00:00"/>
    <x v="4"/>
    <n v="289523.34000000003"/>
    <s v="In Litigation"/>
    <n v="316918.08"/>
    <n v="2000000"/>
    <n v="27394.74"/>
    <x v="0"/>
    <x v="4"/>
    <s v="Company 16"/>
    <n v="14017"/>
    <n v="8"/>
    <n v="1.03"/>
    <x v="37"/>
    <n v="299030.88240000006"/>
    <x v="36"/>
    <n v="1"/>
    <x v="4"/>
  </r>
  <r>
    <s v="CLM-00039"/>
    <d v="2022-01-10T00:00:00"/>
    <x v="0"/>
    <n v="492783.45"/>
    <s v="Closed"/>
    <n v="512067.73"/>
    <n v="2000000"/>
    <n v="19284.28"/>
    <x v="1"/>
    <x v="0"/>
    <s v="Company 11"/>
    <n v="96489"/>
    <n v="6"/>
    <n v="1.0506"/>
    <x v="38"/>
    <n v="518694.07713799994"/>
    <x v="37"/>
    <n v="1"/>
    <x v="5"/>
  </r>
  <r>
    <s v="CLM-00040"/>
    <d v="2019-09-03T00:00:00"/>
    <x v="2"/>
    <n v="812739.57"/>
    <s v="Closed"/>
    <n v="851033.0199999999"/>
    <n v="5000000"/>
    <n v="38293.449999999997"/>
    <x v="2"/>
    <x v="4"/>
    <s v="Company 18"/>
    <n v="38228"/>
    <n v="7"/>
    <n v="1.1479107743999999"/>
    <x v="39"/>
    <n v="938616.52302817057"/>
    <x v="38"/>
    <n v="1"/>
    <x v="0"/>
  </r>
  <r>
    <s v="CLM-00041"/>
    <d v="2021-11-14T00:00:00"/>
    <x v="3"/>
    <n v="523987.21"/>
    <s v="Open"/>
    <n v="549880.48"/>
    <n v="5000000"/>
    <n v="25893.27"/>
    <x v="3"/>
    <x v="1"/>
    <s v="Company 10"/>
    <n v="72214"/>
    <n v="2"/>
    <n v="1.071612"/>
    <x v="40"/>
    <n v="563365.25093375996"/>
    <x v="39"/>
    <n v="1"/>
    <x v="3"/>
  </r>
  <r>
    <s v="CLM-00042"/>
    <d v="2023-02-28T00:00:00"/>
    <x v="1"/>
    <n v="392873.65"/>
    <s v="Closed"/>
    <n v="424721.10000000003"/>
    <n v="2000000"/>
    <n v="31847.45"/>
    <x v="1"/>
    <x v="2"/>
    <s v="Company 4"/>
    <n v="74250"/>
    <n v="5"/>
    <n v="1.03"/>
    <x v="41"/>
    <n v="405615.28300000005"/>
    <x v="40"/>
    <n v="1"/>
    <x v="4"/>
  </r>
  <r>
    <s v="CLM-00043"/>
    <d v="2020-07-21T00:00:00"/>
    <x v="4"/>
    <n v="539278.54"/>
    <s v="Closed"/>
    <n v="557573.29"/>
    <n v="5000000"/>
    <n v="18294.75"/>
    <x v="0"/>
    <x v="3"/>
    <s v="Company 15"/>
    <n v="50835"/>
    <n v="3"/>
    <n v="1.1037603600000001"/>
    <x v="42"/>
    <n v="597132.54529678449"/>
    <x v="41"/>
    <n v="1"/>
    <x v="1"/>
  </r>
  <r>
    <s v="CLM-00044"/>
    <d v="2018-03-19T00:00:00"/>
    <x v="0"/>
    <n v="283973.44"/>
    <s v="Open"/>
    <n v="300456.98"/>
    <n v="2000000"/>
    <n v="16483.54"/>
    <x v="0"/>
    <x v="0"/>
    <s v="Company 9"/>
    <n v="66984"/>
    <n v="4"/>
    <n v="1.2053063131199999"/>
    <x v="43"/>
    <n v="345659.15481496957"/>
    <x v="42"/>
    <n v="1"/>
    <x v="2"/>
  </r>
  <r>
    <s v="CLM-00045"/>
    <d v="2022-06-26T00:00:00"/>
    <x v="2"/>
    <n v="482839.65"/>
    <s v="Closed"/>
    <n v="518138.29000000004"/>
    <n v="5000000"/>
    <n v="35298.639999999999"/>
    <x v="2"/>
    <x v="4"/>
    <s v="Company 7"/>
    <n v="76643"/>
    <n v="1"/>
    <n v="1.0506"/>
    <x v="44"/>
    <n v="509057.44747400004"/>
    <x v="43"/>
    <n v="1"/>
    <x v="5"/>
  </r>
  <r>
    <s v="CLM-00046"/>
    <d v="2021-10-03T00:00:00"/>
    <x v="3"/>
    <n v="683482.94"/>
    <s v="In Litigation"/>
    <n v="716430.78999999992"/>
    <n v="5000000"/>
    <n v="32947.85"/>
    <x v="3"/>
    <x v="1"/>
    <s v="Company 3"/>
    <n v="77352"/>
    <n v="6"/>
    <n v="1.071612"/>
    <x v="45"/>
    <n v="734787.98173348"/>
    <x v="44"/>
    <n v="1"/>
    <x v="3"/>
  </r>
  <r>
    <s v="CLM-00047"/>
    <d v="2020-01-17T00:00:00"/>
    <x v="1"/>
    <n v="783948.23"/>
    <s v="Closed"/>
    <n v="813530.62"/>
    <n v="5000000"/>
    <n v="29582.39"/>
    <x v="1"/>
    <x v="2"/>
    <s v="Company 14"/>
    <n v="11996"/>
    <n v="2"/>
    <n v="1.1037603600000001"/>
    <x v="46"/>
    <n v="868360.46000222326"/>
    <x v="45"/>
    <n v="1"/>
    <x v="1"/>
  </r>
  <r>
    <s v="CLM-00048"/>
    <d v="2019-04-05T00:00:00"/>
    <x v="4"/>
    <n v="239582.74"/>
    <s v="Closed"/>
    <n v="260976.97"/>
    <n v="1000000"/>
    <n v="21394.23"/>
    <x v="0"/>
    <x v="0"/>
    <s v="Company 2"/>
    <n v="47580"/>
    <n v="7"/>
    <n v="1.1479107743999999"/>
    <x v="47"/>
    <n v="278184.04573326558"/>
    <x v="46"/>
    <n v="1"/>
    <x v="0"/>
  </r>
  <r>
    <s v="CLM-00049"/>
    <d v="2022-12-21T00:00:00"/>
    <x v="0"/>
    <n v="294738.48"/>
    <s v="Closed"/>
    <n v="313686.01"/>
    <n v="2000000"/>
    <n v="18947.53"/>
    <x v="1"/>
    <x v="4"/>
    <s v="Company 8"/>
    <n v="99969"/>
    <n v="4"/>
    <n v="1.0506"/>
    <x v="48"/>
    <n v="310610.99210599996"/>
    <x v="47"/>
    <n v="1"/>
    <x v="5"/>
  </r>
  <r>
    <s v="CLM-00050"/>
    <d v="2021-02-03T00:00:00"/>
    <x v="2"/>
    <n v="583948.29"/>
    <s v="Closed"/>
    <n v="613232.67000000004"/>
    <n v="5000000"/>
    <n v="29284.38"/>
    <x v="2"/>
    <x v="3"/>
    <s v="Company 13"/>
    <n v="86368"/>
    <n v="9"/>
    <n v="1.071612"/>
    <x v="49"/>
    <n v="627863.10796404001"/>
    <x v="48"/>
    <n v="1"/>
    <x v="3"/>
  </r>
  <r>
    <s v="CLM-00051"/>
    <d v="2020-03-12T00:00:00"/>
    <x v="3"/>
    <n v="784839.21"/>
    <s v="Open"/>
    <n v="823786.49"/>
    <n v="5000000"/>
    <n v="38947.279999999999"/>
    <x v="3"/>
    <x v="1"/>
    <s v="Company 5"/>
    <n v="103730"/>
    <n v="3"/>
    <n v="1.1037603600000001"/>
    <x v="50"/>
    <n v="870315.59276553639"/>
    <x v="49"/>
    <n v="1"/>
    <x v="1"/>
  </r>
  <r>
    <s v="CLM-00052"/>
    <d v="2023-07-08T00:00:00"/>
    <x v="1"/>
    <n v="398483.65"/>
    <s v="Closed"/>
    <n v="427431.03"/>
    <n v="2000000"/>
    <n v="28947.38"/>
    <x v="1"/>
    <x v="2"/>
    <s v="Company 11"/>
    <n v="60731"/>
    <n v="6"/>
    <n v="1.03"/>
    <x v="51"/>
    <n v="411306.58090000006"/>
    <x v="50"/>
    <n v="1"/>
    <x v="4"/>
  </r>
  <r>
    <s v="CLM-00053"/>
    <d v="2018-09-23T00:00:00"/>
    <x v="4"/>
    <n v="485739.23"/>
    <s v="Closed"/>
    <n v="503135.07"/>
    <n v="5000000"/>
    <n v="17395.84"/>
    <x v="0"/>
    <x v="4"/>
    <s v="Company 17"/>
    <n v="26165"/>
    <n v="8"/>
    <n v="1.2053063131199999"/>
    <x v="52"/>
    <n v="589036.03622307314"/>
    <x v="51"/>
    <n v="1"/>
    <x v="2"/>
  </r>
  <r>
    <s v="CLM-00054"/>
    <d v="2019-11-15T00:00:00"/>
    <x v="0"/>
    <n v="593849.48"/>
    <s v="Open"/>
    <n v="632797.05999999994"/>
    <n v="5000000"/>
    <n v="38947.58"/>
    <x v="1"/>
    <x v="0"/>
    <s v="Company 4"/>
    <n v="99843"/>
    <n v="2"/>
    <n v="1.1479107743999999"/>
    <x v="53"/>
    <n v="687446.98318264319"/>
    <x v="52"/>
    <n v="1"/>
    <x v="0"/>
  </r>
  <r>
    <s v="CLM-00055"/>
    <d v="2022-08-12T00:00:00"/>
    <x v="2"/>
    <n v="683849.75"/>
    <s v="Closed"/>
    <n v="716797.2"/>
    <n v="5000000"/>
    <n v="32947.449999999997"/>
    <x v="2"/>
    <x v="3"/>
    <s v="Company 7"/>
    <n v="84147"/>
    <n v="3"/>
    <n v="1.0506"/>
    <x v="54"/>
    <n v="720119.68831999996"/>
    <x v="53"/>
    <n v="1"/>
    <x v="5"/>
  </r>
  <r>
    <s v="CLM-00056"/>
    <d v="2021-05-23T00:00:00"/>
    <x v="3"/>
    <n v="792483.56"/>
    <s v="Open"/>
    <n v="827431.81"/>
    <n v="5000000"/>
    <n v="34948.25"/>
    <x v="3"/>
    <x v="1"/>
    <s v="Company 8"/>
    <n v="77949"/>
    <n v="7"/>
    <n v="1.071612"/>
    <x v="55"/>
    <n v="851737.60677772004"/>
    <x v="54"/>
    <n v="1"/>
    <x v="3"/>
  </r>
  <r>
    <s v="CLM-00057"/>
    <d v="2020-10-17T00:00:00"/>
    <x v="1"/>
    <n v="594837.93999999994"/>
    <s v="Closed"/>
    <n v="623785.5"/>
    <n v="5000000"/>
    <n v="28947.56"/>
    <x v="1"/>
    <x v="2"/>
    <s v="Company 10"/>
    <n v="60436"/>
    <n v="4"/>
    <n v="1.1037603600000001"/>
    <x v="56"/>
    <n v="659562.14804278"/>
    <x v="55"/>
    <n v="1"/>
    <x v="1"/>
  </r>
  <r>
    <s v="CLM-00058"/>
    <d v="2023-03-13T00:00:00"/>
    <x v="4"/>
    <n v="472839.28"/>
    <s v="Closed"/>
    <n v="494777.76"/>
    <n v="5000000"/>
    <n v="21938.48"/>
    <x v="0"/>
    <x v="4"/>
    <s v="Company 3"/>
    <n v="41334"/>
    <n v="6"/>
    <n v="1.03"/>
    <x v="57"/>
    <n v="487682.61280000006"/>
    <x v="56"/>
    <n v="1"/>
    <x v="4"/>
  </r>
  <r>
    <s v="CLM-00059"/>
    <d v="2018-12-05T00:00:00"/>
    <x v="0"/>
    <n v="592483.44999999995"/>
    <s v="Open"/>
    <n v="625430.82999999996"/>
    <n v="2000000"/>
    <n v="32947.379999999997"/>
    <x v="1"/>
    <x v="1"/>
    <s v="Company 9"/>
    <n v="33636"/>
    <n v="5"/>
    <n v="1.2053063131199999"/>
    <x v="58"/>
    <n v="720888.34781888139"/>
    <x v="57"/>
    <n v="1"/>
    <x v="2"/>
  </r>
  <r>
    <s v="CLM-00060"/>
    <d v="2019-06-29T00:00:00"/>
    <x v="2"/>
    <n v="839483.29"/>
    <s v="Closed"/>
    <n v="877431.67"/>
    <n v="5000000"/>
    <n v="37948.379999999997"/>
    <x v="2"/>
    <x v="3"/>
    <s v="Company 6"/>
    <n v="61597"/>
    <n v="3"/>
    <n v="1.1479107743999999"/>
    <x v="59"/>
    <n v="969264.88779278519"/>
    <x v="58"/>
    <n v="1"/>
    <x v="0"/>
  </r>
  <r>
    <s v="CLM-00061"/>
    <d v="2022-09-17T00:00:00"/>
    <x v="3"/>
    <n v="839483.58"/>
    <s v="Open"/>
    <n v="878431.02999999991"/>
    <n v="5000000"/>
    <n v="38947.449999999997"/>
    <x v="3"/>
    <x v="4"/>
    <s v="Company 11"/>
    <n v="84166"/>
    <n v="4"/>
    <n v="1.0506"/>
    <x v="60"/>
    <n v="883932.19011799991"/>
    <x v="59"/>
    <n v="1"/>
    <x v="5"/>
  </r>
  <r>
    <s v="CLM-00062"/>
    <d v="2021-01-11T00:00:00"/>
    <x v="1"/>
    <n v="793849.23"/>
    <s v="Closed"/>
    <n v="823331.71"/>
    <n v="5000000"/>
    <n v="29482.48"/>
    <x v="1"/>
    <x v="2"/>
    <s v="Company 13"/>
    <n v="30322"/>
    <n v="7"/>
    <n v="1.071612"/>
    <x v="61"/>
    <n v="852809.66041651997"/>
    <x v="60"/>
    <n v="1"/>
    <x v="3"/>
  </r>
  <r>
    <s v="CLM-00063"/>
    <d v="2020-04-25T00:00:00"/>
    <x v="4"/>
    <n v="473839.25"/>
    <s v="Closed"/>
    <n v="501321.63"/>
    <n v="5000000"/>
    <n v="27482.38"/>
    <x v="0"/>
    <x v="3"/>
    <s v="Company 15"/>
    <n v="20814"/>
    <n v="6"/>
    <n v="1.1037603600000001"/>
    <x v="62"/>
    <n v="525856.56280458684"/>
    <x v="61"/>
    <n v="1"/>
    <x v="1"/>
  </r>
  <r>
    <s v="CLM-00064"/>
    <d v="2019-03-19T00:00:00"/>
    <x v="0"/>
    <n v="573849.48"/>
    <s v="Open"/>
    <n v="606697.05999999994"/>
    <n v="5000000"/>
    <n v="32847.58"/>
    <x v="1"/>
    <x v="0"/>
    <s v="Company 8"/>
    <n v="85968"/>
    <n v="3"/>
    <n v="1.1479107743999999"/>
    <x v="63"/>
    <n v="663586.51197080314"/>
    <x v="62"/>
    <n v="1"/>
    <x v="0"/>
  </r>
  <r>
    <s v="CLM-00065"/>
    <d v="2023-02-02T00:00:00"/>
    <x v="2"/>
    <n v="683849.75"/>
    <s v="Closed"/>
    <n v="716797.2"/>
    <n v="5000000"/>
    <n v="32947.449999999997"/>
    <x v="2"/>
    <x v="1"/>
    <s v="Company 1"/>
    <n v="72028"/>
    <n v="2"/>
    <n v="1.03"/>
    <x v="64"/>
    <n v="705353.66599999997"/>
    <x v="63"/>
    <n v="1"/>
    <x v="4"/>
  </r>
  <r>
    <s v="CLM-00066"/>
    <d v="2022-07-11T00:00:00"/>
    <x v="3"/>
    <n v="683849.45"/>
    <s v="Open"/>
    <n v="713331.89999999991"/>
    <n v="5000000"/>
    <n v="29482.45"/>
    <x v="3"/>
    <x v="2"/>
    <s v="Company 7"/>
    <n v="76181"/>
    <n v="4"/>
    <n v="1.0506"/>
    <x v="65"/>
    <n v="719944.0441399999"/>
    <x v="64"/>
    <n v="1"/>
    <x v="5"/>
  </r>
  <r>
    <s v="CLM-00067"/>
    <d v="2021-06-22T00:00:00"/>
    <x v="1"/>
    <n v="573839.54"/>
    <s v="Closed"/>
    <n v="601678.92000000004"/>
    <n v="5000000"/>
    <n v="27839.38"/>
    <x v="1"/>
    <x v="4"/>
    <s v="Company 14"/>
    <n v="48452"/>
    <n v="5"/>
    <n v="1.071612"/>
    <x v="66"/>
    <n v="616926.97081904009"/>
    <x v="65"/>
    <n v="1"/>
    <x v="3"/>
  </r>
  <r>
    <s v="CLM-00068"/>
    <d v="2020-01-27T00:00:00"/>
    <x v="4"/>
    <n v="572839.44999999995"/>
    <s v="Closed"/>
    <n v="605786.89999999991"/>
    <n v="5000000"/>
    <n v="32947.449999999997"/>
    <x v="0"/>
    <x v="3"/>
    <s v="Company 6"/>
    <n v="37848"/>
    <n v="3"/>
    <n v="1.1037603600000001"/>
    <x v="67"/>
    <n v="635696.11682728399"/>
    <x v="66"/>
    <n v="1"/>
    <x v="1"/>
  </r>
  <r>
    <s v="CLM-00069"/>
    <d v="2019-05-08T00:00:00"/>
    <x v="4"/>
    <n v="472839.38"/>
    <s v="Open"/>
    <n v="502313.22000000003"/>
    <n v="2000000"/>
    <n v="29473.84"/>
    <x v="1"/>
    <x v="2"/>
    <s v="Company 16"/>
    <n v="35049"/>
    <n v="4"/>
    <n v="1.1479107743999999"/>
    <x v="68"/>
    <n v="547136.9173615576"/>
    <x v="67"/>
    <n v="1"/>
    <x v="0"/>
  </r>
  <r>
    <s v="CLM-00070"/>
    <d v="2023-04-19T00:00:00"/>
    <x v="0"/>
    <n v="573849.48"/>
    <s v="Closed"/>
    <n v="606697.05999999994"/>
    <n v="5000000"/>
    <n v="32847.58"/>
    <x v="1"/>
    <x v="4"/>
    <s v="Company 7"/>
    <n v="83100"/>
    <n v="3"/>
    <n v="1.03"/>
    <x v="69"/>
    <n v="592050.39179999998"/>
    <x v="68"/>
    <n v="1"/>
    <x v="4"/>
  </r>
  <r>
    <s v="CLM-00071"/>
    <d v="2021-10-12T00:00:00"/>
    <x v="2"/>
    <n v="683849.75"/>
    <s v="Closed"/>
    <n v="721798.13"/>
    <n v="5000000"/>
    <n v="37948.379999999997"/>
    <x v="2"/>
    <x v="3"/>
    <s v="Company 19"/>
    <n v="88767"/>
    <n v="5"/>
    <n v="1.071612"/>
    <x v="70"/>
    <n v="735539.15768556006"/>
    <x v="69"/>
    <n v="1"/>
    <x v="3"/>
  </r>
  <r>
    <s v="CLM-00072"/>
    <d v="2022-03-28T00:00:00"/>
    <x v="3"/>
    <n v="739849.45"/>
    <s v="Open"/>
    <n v="778796.89999999991"/>
    <n v="5000000"/>
    <n v="38947.449999999997"/>
    <x v="3"/>
    <x v="0"/>
    <s v="Company 5"/>
    <n v="115417"/>
    <n v="3"/>
    <n v="1.0506"/>
    <x v="71"/>
    <n v="779256.57313999988"/>
    <x v="70"/>
    <n v="1"/>
    <x v="5"/>
  </r>
  <r>
    <s v="CLM-00073"/>
    <d v="2020-08-04T00:00:00"/>
    <x v="1"/>
    <n v="573839.54"/>
    <s v="Closed"/>
    <n v="601678.92000000004"/>
    <n v="5000000"/>
    <n v="27839.38"/>
    <x v="1"/>
    <x v="1"/>
    <s v="Company 20"/>
    <n v="12428"/>
    <n v="6"/>
    <n v="1.1037603600000001"/>
    <x v="72"/>
    <n v="636269.96134361136"/>
    <x v="71"/>
    <n v="1"/>
    <x v="1"/>
  </r>
  <r>
    <s v="CLM-00074"/>
    <d v="2018-06-17T00:00:00"/>
    <x v="4"/>
    <n v="572839.44999999995"/>
    <s v="Closed"/>
    <n v="605786.89999999991"/>
    <n v="5000000"/>
    <n v="32947.449999999997"/>
    <x v="0"/>
    <x v="4"/>
    <s v="Company 9"/>
    <n v="12124"/>
    <n v="3"/>
    <n v="1.2053063131199999"/>
    <x v="73"/>
    <n v="697211.32497539406"/>
    <x v="72"/>
    <n v="1"/>
    <x v="2"/>
  </r>
  <r>
    <s v="CLM-00075"/>
    <d v="2023-05-22T00:00:00"/>
    <x v="0"/>
    <n v="793849.23"/>
    <s v="Open"/>
    <n v="823331.71"/>
    <n v="5000000"/>
    <n v="29482.48"/>
    <x v="1"/>
    <x v="3"/>
    <s v="Company 12"/>
    <n v="83973"/>
    <n v="4"/>
    <n v="1.03"/>
    <x v="74"/>
    <n v="818549.18130000005"/>
    <x v="73"/>
    <n v="1"/>
    <x v="4"/>
  </r>
  <r>
    <s v="CLM-00076"/>
    <d v="2021-07-06T00:00:00"/>
    <x v="2"/>
    <n v="573849.48"/>
    <s v="Closed"/>
    <n v="606697.05999999994"/>
    <n v="5000000"/>
    <n v="32847.58"/>
    <x v="2"/>
    <x v="0"/>
    <s v="Company 14"/>
    <n v="72967"/>
    <n v="3"/>
    <n v="1.071612"/>
    <x v="75"/>
    <n v="617296.26986072003"/>
    <x v="74"/>
    <n v="1"/>
    <x v="3"/>
  </r>
  <r>
    <s v="CLM-00077"/>
    <d v="2020-02-18T00:00:00"/>
    <x v="3"/>
    <n v="572839.44999999995"/>
    <s v="Closed"/>
    <n v="605786.89999999991"/>
    <n v="5000000"/>
    <n v="32947.449999999997"/>
    <x v="3"/>
    <x v="2"/>
    <s v="Company 8"/>
    <n v="119453"/>
    <n v="6"/>
    <n v="1.1037603600000001"/>
    <x v="67"/>
    <n v="635696.11682728399"/>
    <x v="66"/>
    <n v="1"/>
    <x v="1"/>
  </r>
  <r>
    <s v="CLM-00078"/>
    <d v="2022-09-14T00:00:00"/>
    <x v="1"/>
    <n v="573839.54"/>
    <s v="Open"/>
    <n v="601678.92000000004"/>
    <n v="5000000"/>
    <n v="27839.38"/>
    <x v="1"/>
    <x v="1"/>
    <s v="Company 11"/>
    <n v="21598"/>
    <n v="3"/>
    <n v="1.0506"/>
    <x v="76"/>
    <n v="604284.49335200002"/>
    <x v="75"/>
    <n v="1"/>
    <x v="5"/>
  </r>
  <r>
    <s v="CLM-00079"/>
    <d v="2023-03-07T00:00:00"/>
    <x v="4"/>
    <n v="473839.25"/>
    <s v="Closed"/>
    <n v="501321.63"/>
    <n v="2000000"/>
    <n v="27482.38"/>
    <x v="0"/>
    <x v="4"/>
    <s v="Company 2"/>
    <n v="49479"/>
    <n v="5"/>
    <n v="1.03"/>
    <x v="77"/>
    <n v="488878.89890000003"/>
    <x v="76"/>
    <n v="1"/>
    <x v="4"/>
  </r>
  <r>
    <s v="CLM-00080"/>
    <d v="2021-12-01T00:00:00"/>
    <x v="0"/>
    <n v="573849.48"/>
    <s v="Closed"/>
    <n v="606697.05999999994"/>
    <n v="5000000"/>
    <n v="32847.58"/>
    <x v="1"/>
    <x v="3"/>
    <s v="Company 17"/>
    <n v="21306"/>
    <n v="7"/>
    <n v="1.071612"/>
    <x v="75"/>
    <n v="617296.26986072003"/>
    <x v="74"/>
    <n v="1"/>
    <x v="3"/>
  </r>
  <r>
    <s v="CLM-00081"/>
    <d v="2020-06-05T00:00:00"/>
    <x v="2"/>
    <n v="683849.75"/>
    <s v="Closed"/>
    <n v="721798.13"/>
    <n v="5000000"/>
    <n v="37948.379999999997"/>
    <x v="2"/>
    <x v="0"/>
    <s v="Company 1"/>
    <n v="52520"/>
    <n v="3"/>
    <n v="1.1037603600000001"/>
    <x v="78"/>
    <n v="758743.78381612687"/>
    <x v="77"/>
    <n v="1"/>
    <x v="1"/>
  </r>
  <r>
    <s v="CLM-00082"/>
    <d v="2019-08-30T00:00:00"/>
    <x v="3"/>
    <n v="739849.45"/>
    <s v="Open"/>
    <n v="778796.89999999991"/>
    <n v="5000000"/>
    <n v="38947.449999999997"/>
    <x v="3"/>
    <x v="2"/>
    <s v="Company 13"/>
    <n v="119854"/>
    <n v="4"/>
    <n v="1.1479107743999999"/>
    <x v="79"/>
    <n v="855041.9025793192"/>
    <x v="78"/>
    <n v="1"/>
    <x v="0"/>
  </r>
  <r>
    <s v="CLM-00083"/>
    <d v="2018-11-22T00:00:00"/>
    <x v="1"/>
    <n v="573839.54"/>
    <s v="Closed"/>
    <n v="601678.92000000004"/>
    <n v="5000000"/>
    <n v="27839.38"/>
    <x v="1"/>
    <x v="1"/>
    <s v="Company 18"/>
    <n v="64456"/>
    <n v="5"/>
    <n v="1.2053063131199999"/>
    <x v="80"/>
    <n v="697368.0207472234"/>
    <x v="79"/>
    <n v="1"/>
    <x v="2"/>
  </r>
  <r>
    <s v="CLM-00084"/>
    <d v="2023-01-29T00:00:00"/>
    <x v="4"/>
    <n v="572839.44999999995"/>
    <s v="Closed"/>
    <n v="605786.89999999991"/>
    <n v="5000000"/>
    <n v="32947.449999999997"/>
    <x v="0"/>
    <x v="4"/>
    <s v="Company 16"/>
    <n v="49024"/>
    <n v="6"/>
    <n v="1.03"/>
    <x v="81"/>
    <n v="591013.05699999991"/>
    <x v="80"/>
    <n v="1"/>
    <x v="4"/>
  </r>
  <r>
    <s v="CLM-00085"/>
    <d v="2021-04-10T00:00:00"/>
    <x v="0"/>
    <n v="793849.23"/>
    <s v="Open"/>
    <n v="823331.71"/>
    <n v="5000000"/>
    <n v="29482.48"/>
    <x v="1"/>
    <x v="3"/>
    <s v="Company 7"/>
    <n v="47339"/>
    <n v="4"/>
    <n v="1.071612"/>
    <x v="61"/>
    <n v="852809.66041651997"/>
    <x v="60"/>
    <n v="1"/>
    <x v="3"/>
  </r>
  <r>
    <s v="CLM-00086"/>
    <d v="2020-07-20T00:00:00"/>
    <x v="2"/>
    <n v="573849.48"/>
    <s v="Closed"/>
    <n v="606697.05999999994"/>
    <n v="5000000"/>
    <n v="32847.58"/>
    <x v="2"/>
    <x v="0"/>
    <s v="Company 4"/>
    <n v="59187"/>
    <n v="3"/>
    <n v="1.1037603600000001"/>
    <x v="82"/>
    <n v="636800.58535654168"/>
    <x v="81"/>
    <n v="1"/>
    <x v="1"/>
  </r>
  <r>
    <s v="CLM-00087"/>
    <d v="2019-02-24T00:00:00"/>
    <x v="3"/>
    <n v="572839.44999999995"/>
    <s v="Closed"/>
    <n v="605786.89999999991"/>
    <n v="5000000"/>
    <n v="32947.449999999997"/>
    <x v="3"/>
    <x v="1"/>
    <s v="Company 6"/>
    <n v="74773"/>
    <n v="5"/>
    <n v="1.1479107743999999"/>
    <x v="83"/>
    <n v="662441.85950037523"/>
    <x v="82"/>
    <n v="1"/>
    <x v="0"/>
  </r>
  <r>
    <s v="CLM-00088"/>
    <d v="2022-11-19T00:00:00"/>
    <x v="1"/>
    <n v="573839.54"/>
    <s v="Open"/>
    <n v="601678.92000000004"/>
    <n v="5000000"/>
    <n v="27839.38"/>
    <x v="1"/>
    <x v="2"/>
    <s v="Company 5"/>
    <n v="46826"/>
    <n v="3"/>
    <n v="1.0506"/>
    <x v="76"/>
    <n v="604284.49335200002"/>
    <x v="75"/>
    <n v="1"/>
    <x v="5"/>
  </r>
  <r>
    <s v="CLM-00089"/>
    <d v="2023-06-14T00:00:00"/>
    <x v="4"/>
    <n v="473839.25"/>
    <s v="Closed"/>
    <n v="501321.63"/>
    <n v="2000000"/>
    <n v="27482.38"/>
    <x v="0"/>
    <x v="4"/>
    <s v="Company 9"/>
    <n v="36851"/>
    <n v="7"/>
    <n v="1.03"/>
    <x v="77"/>
    <n v="488878.89890000003"/>
    <x v="76"/>
    <n v="1"/>
    <x v="4"/>
  </r>
  <r>
    <s v="CLM-00090"/>
    <d v="2021-08-11T00:00:00"/>
    <x v="0"/>
    <n v="573849.48"/>
    <s v="Closed"/>
    <n v="606697.05999999994"/>
    <n v="5000000"/>
    <n v="32847.58"/>
    <x v="1"/>
    <x v="3"/>
    <s v="Company 11"/>
    <n v="73004"/>
    <n v="4"/>
    <n v="1.071612"/>
    <x v="75"/>
    <n v="617296.26986072003"/>
    <x v="74"/>
    <n v="1"/>
    <x v="3"/>
  </r>
  <r>
    <s v="CLM-00091"/>
    <d v="2020-12-21T00:00:00"/>
    <x v="2"/>
    <n v="683849.75"/>
    <s v="Closed"/>
    <n v="721798.13"/>
    <n v="5000000"/>
    <n v="37948.379999999997"/>
    <x v="2"/>
    <x v="0"/>
    <s v="Company 3"/>
    <n v="73308"/>
    <n v="5"/>
    <n v="1.1037603600000001"/>
    <x v="78"/>
    <n v="758743.78381612687"/>
    <x v="77"/>
    <n v="1"/>
    <x v="1"/>
  </r>
  <r>
    <s v="CLM-00092"/>
    <d v="2022-05-23T00:00:00"/>
    <x v="3"/>
    <n v="739849.45"/>
    <s v="Open"/>
    <n v="778796.89999999991"/>
    <n v="5000000"/>
    <n v="38947.449999999997"/>
    <x v="3"/>
    <x v="2"/>
    <s v="Company 17"/>
    <n v="103285"/>
    <n v="6"/>
    <n v="1.0506"/>
    <x v="71"/>
    <n v="779256.57313999988"/>
    <x v="70"/>
    <n v="1"/>
    <x v="5"/>
  </r>
  <r>
    <s v="CLM-00093"/>
    <d v="2019-09-18T00:00:00"/>
    <x v="1"/>
    <n v="573839.54"/>
    <s v="Closed"/>
    <n v="601678.92000000004"/>
    <n v="5000000"/>
    <n v="27839.38"/>
    <x v="1"/>
    <x v="1"/>
    <s v="Company 14"/>
    <n v="11335"/>
    <n v="3"/>
    <n v="1.1479107743999999"/>
    <x v="84"/>
    <n v="662834.33499735559"/>
    <x v="83"/>
    <n v="1"/>
    <x v="0"/>
  </r>
  <r>
    <s v="CLM-00094"/>
    <d v="2023-07-02T00:00:00"/>
    <x v="4"/>
    <n v="572839.44999999995"/>
    <s v="Closed"/>
    <n v="605786.89999999991"/>
    <n v="5000000"/>
    <n v="32947.449999999997"/>
    <x v="0"/>
    <x v="4"/>
    <s v="Company 15"/>
    <n v="54787"/>
    <n v="4"/>
    <n v="1.03"/>
    <x v="81"/>
    <n v="591013.05699999991"/>
    <x v="80"/>
    <n v="1"/>
    <x v="4"/>
  </r>
  <r>
    <s v="CLM-00095"/>
    <d v="2021-03-26T00:00:00"/>
    <x v="0"/>
    <n v="793849.23"/>
    <s v="Open"/>
    <n v="823331.71"/>
    <n v="5000000"/>
    <n v="29482.48"/>
    <x v="1"/>
    <x v="3"/>
    <s v="Company 16"/>
    <n v="38765"/>
    <n v="3"/>
    <n v="1.071612"/>
    <x v="61"/>
    <n v="852809.66041651997"/>
    <x v="60"/>
    <n v="1"/>
    <x v="3"/>
  </r>
  <r>
    <s v="CLM-00096"/>
    <d v="2020-02-29T00:00:00"/>
    <x v="2"/>
    <n v="573849.48"/>
    <s v="Closed"/>
    <n v="606697.05999999994"/>
    <n v="5000000"/>
    <n v="32847.58"/>
    <x v="2"/>
    <x v="0"/>
    <s v="Company 7"/>
    <n v="74805"/>
    <n v="6"/>
    <n v="1.1037603600000001"/>
    <x v="82"/>
    <n v="636800.58535654168"/>
    <x v="81"/>
    <n v="1"/>
    <x v="1"/>
  </r>
  <r>
    <s v="CLM-00097"/>
    <d v="2019-01-16T00:00:00"/>
    <x v="3"/>
    <n v="572839.44999999995"/>
    <s v="Closed"/>
    <n v="605786.89999999991"/>
    <n v="5000000"/>
    <n v="32947.449999999997"/>
    <x v="3"/>
    <x v="1"/>
    <s v="Company 12"/>
    <n v="101368"/>
    <n v="5"/>
    <n v="1.1479107743999999"/>
    <x v="83"/>
    <n v="662441.85950037523"/>
    <x v="82"/>
    <n v="1"/>
    <x v="0"/>
  </r>
  <r>
    <s v="CLM-00098"/>
    <d v="2022-04-14T00:00:00"/>
    <x v="1"/>
    <n v="573839.54"/>
    <s v="Open"/>
    <n v="601678.92000000004"/>
    <n v="5000000"/>
    <n v="27839.38"/>
    <x v="1"/>
    <x v="2"/>
    <s v="Company 8"/>
    <n v="68341"/>
    <n v="3"/>
    <n v="1.0506"/>
    <x v="76"/>
    <n v="604284.49335200002"/>
    <x v="75"/>
    <n v="1"/>
    <x v="5"/>
  </r>
  <r>
    <s v="CLM-00099"/>
    <d v="2023-08-01T00:00:00"/>
    <x v="4"/>
    <n v="473839.25"/>
    <s v="Closed"/>
    <n v="501321.63"/>
    <n v="2000000"/>
    <n v="27482.38"/>
    <x v="0"/>
    <x v="3"/>
    <s v="Company 19"/>
    <n v="12197"/>
    <n v="4"/>
    <n v="1.03"/>
    <x v="77"/>
    <n v="488878.89890000003"/>
    <x v="76"/>
    <n v="1"/>
    <x v="4"/>
  </r>
  <r>
    <s v="CLM-00100"/>
    <d v="2022-12-27T00:00:00"/>
    <x v="3"/>
    <n v="5000000"/>
    <s v="In Litigation"/>
    <n v="5018723.79"/>
    <n v="10000000"/>
    <n v="18723.79"/>
    <x v="3"/>
    <x v="1"/>
    <s v="Company 15"/>
    <n v="96807"/>
    <n v="9"/>
    <n v="1.0506"/>
    <x v="85"/>
    <n v="5253947.4237740003"/>
    <x v="84"/>
    <n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607153-BC05-A043-B28E-F9CCF340EE48}"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19">
    <pivotField showAll="0"/>
    <pivotField numFmtId="14" showAll="0"/>
    <pivotField showAll="0">
      <items count="6">
        <item x="1"/>
        <item x="0"/>
        <item x="2"/>
        <item x="3"/>
        <item x="4"/>
        <item t="default"/>
      </items>
    </pivotField>
    <pivotField numFmtId="44" showAll="0"/>
    <pivotField showAll="0"/>
    <pivotField numFmtId="44" showAll="0"/>
    <pivotField numFmtId="6" showAll="0"/>
    <pivotField numFmtId="44" showAll="0"/>
    <pivotField showAll="0">
      <items count="5">
        <item x="2"/>
        <item x="0"/>
        <item x="3"/>
        <item x="1"/>
        <item t="default"/>
      </items>
    </pivotField>
    <pivotField showAll="0">
      <items count="6">
        <item x="1"/>
        <item x="0"/>
        <item x="2"/>
        <item x="4"/>
        <item x="3"/>
        <item t="default"/>
      </items>
    </pivotField>
    <pivotField showAll="0"/>
    <pivotField showAll="0"/>
    <pivotField showAll="0"/>
    <pivotField showAll="0"/>
    <pivotField numFmtId="44" showAll="0" defaultSubtotal="0">
      <items count="86">
        <item x="20"/>
        <item x="13"/>
        <item x="4"/>
        <item x="27"/>
        <item x="12"/>
        <item x="29"/>
        <item x="18"/>
        <item x="3"/>
        <item x="23"/>
        <item x="11"/>
        <item x="32"/>
        <item x="5"/>
        <item x="22"/>
        <item x="47"/>
        <item x="37"/>
        <item x="48"/>
        <item x="35"/>
        <item x="43"/>
        <item x="1"/>
        <item x="10"/>
        <item x="16"/>
        <item x="26"/>
        <item x="41"/>
        <item x="51"/>
        <item x="30"/>
        <item x="57"/>
        <item x="77"/>
        <item x="38"/>
        <item x="44"/>
        <item x="62"/>
        <item x="17"/>
        <item x="19"/>
        <item x="68"/>
        <item x="34"/>
        <item x="40"/>
        <item x="52"/>
        <item x="42"/>
        <item x="33"/>
        <item x="81"/>
        <item x="69"/>
        <item x="25"/>
        <item x="76"/>
        <item x="66"/>
        <item x="75"/>
        <item x="49"/>
        <item x="72"/>
        <item x="67"/>
        <item x="82"/>
        <item x="56"/>
        <item x="84"/>
        <item x="83"/>
        <item x="63"/>
        <item x="21"/>
        <item x="15"/>
        <item x="9"/>
        <item x="80"/>
        <item x="53"/>
        <item x="73"/>
        <item x="64"/>
        <item x="65"/>
        <item x="54"/>
        <item x="58"/>
        <item x="45"/>
        <item x="28"/>
        <item x="70"/>
        <item x="36"/>
        <item x="31"/>
        <item x="78"/>
        <item x="71"/>
        <item x="14"/>
        <item x="6"/>
        <item x="74"/>
        <item x="2"/>
        <item x="0"/>
        <item x="8"/>
        <item x="61"/>
        <item x="55"/>
        <item x="79"/>
        <item x="46"/>
        <item x="50"/>
        <item x="60"/>
        <item x="24"/>
        <item x="39"/>
        <item x="7"/>
        <item x="59"/>
        <item x="85"/>
      </items>
    </pivotField>
    <pivotField numFmtId="44" showAll="0"/>
    <pivotField dataField="1" numFmtId="44" showAll="0">
      <items count="86">
        <item x="20"/>
        <item x="4"/>
        <item x="13"/>
        <item x="27"/>
        <item x="12"/>
        <item x="29"/>
        <item x="18"/>
        <item x="11"/>
        <item x="3"/>
        <item x="23"/>
        <item x="32"/>
        <item x="22"/>
        <item x="46"/>
        <item x="5"/>
        <item x="36"/>
        <item x="47"/>
        <item x="34"/>
        <item x="42"/>
        <item x="10"/>
        <item x="1"/>
        <item x="16"/>
        <item x="26"/>
        <item x="40"/>
        <item x="50"/>
        <item x="30"/>
        <item x="56"/>
        <item x="76"/>
        <item x="17"/>
        <item x="43"/>
        <item x="37"/>
        <item x="61"/>
        <item x="19"/>
        <item x="67"/>
        <item x="39"/>
        <item x="33"/>
        <item x="51"/>
        <item x="80"/>
        <item x="68"/>
        <item x="41"/>
        <item x="75"/>
        <item x="25"/>
        <item x="65"/>
        <item x="74"/>
        <item x="48"/>
        <item x="66"/>
        <item x="71"/>
        <item x="81"/>
        <item x="55"/>
        <item x="82"/>
        <item x="83"/>
        <item x="62"/>
        <item x="52"/>
        <item x="72"/>
        <item x="79"/>
        <item x="21"/>
        <item x="63"/>
        <item x="15"/>
        <item x="64"/>
        <item x="53"/>
        <item x="57"/>
        <item x="9"/>
        <item x="44"/>
        <item x="69"/>
        <item x="35"/>
        <item x="28"/>
        <item x="77"/>
        <item x="31"/>
        <item x="70"/>
        <item x="14"/>
        <item x="73"/>
        <item x="6"/>
        <item x="2"/>
        <item x="8"/>
        <item x="0"/>
        <item x="54"/>
        <item x="60"/>
        <item x="78"/>
        <item x="45"/>
        <item x="49"/>
        <item x="59"/>
        <item x="24"/>
        <item x="38"/>
        <item x="7"/>
        <item x="58"/>
        <item x="84"/>
        <item t="default"/>
      </items>
    </pivotField>
    <pivotField showAll="0"/>
    <pivotField axis="axisRow" showAll="0">
      <items count="7">
        <item x="2"/>
        <item x="0"/>
        <item x="1"/>
        <item x="3"/>
        <item x="5"/>
        <item x="4"/>
        <item t="default"/>
      </items>
    </pivotField>
  </pivotFields>
  <rowFields count="1">
    <field x="18"/>
  </rowFields>
  <rowItems count="7">
    <i>
      <x/>
    </i>
    <i>
      <x v="1"/>
    </i>
    <i>
      <x v="2"/>
    </i>
    <i>
      <x v="3"/>
    </i>
    <i>
      <x v="4"/>
    </i>
    <i>
      <x v="5"/>
    </i>
    <i t="grand">
      <x/>
    </i>
  </rowItems>
  <colFields count="1">
    <field x="-2"/>
  </colFields>
  <colItems count="2">
    <i>
      <x/>
    </i>
    <i i="1">
      <x v="1"/>
    </i>
  </colItems>
  <dataFields count="2">
    <dataField name="Sum of Capped net adjusted incurred claim (HINT: Capped net adjusted incurred claim = net inflation adjusted claim capped at policy limit)" fld="16" baseField="0" baseItem="0" numFmtId="44"/>
    <dataField name="Count of Capped net adjusted incurred claim (HINT: Capped net adjusted incurred claim = net inflation adjusted claim capped at policy limit)2" fld="16" subtotal="count"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C1EFA1-93C4-874E-BDFD-7EAA048C1B6D}" name="PivotTable1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7:Q25" firstHeaderRow="1" firstDataRow="2" firstDataCol="1"/>
  <pivotFields count="19">
    <pivotField showAll="0"/>
    <pivotField numFmtId="14" showAll="0"/>
    <pivotField showAll="0">
      <items count="6">
        <item x="1"/>
        <item x="0"/>
        <item x="2"/>
        <item x="3"/>
        <item x="4"/>
        <item t="default"/>
      </items>
    </pivotField>
    <pivotField numFmtId="44" showAll="0"/>
    <pivotField showAll="0"/>
    <pivotField numFmtId="44" showAll="0"/>
    <pivotField numFmtId="6" showAll="0"/>
    <pivotField numFmtId="44" showAll="0"/>
    <pivotField showAll="0">
      <items count="5">
        <item x="2"/>
        <item x="0"/>
        <item x="3"/>
        <item x="1"/>
        <item t="default"/>
      </items>
    </pivotField>
    <pivotField axis="axisCol" dataField="1" showAll="0">
      <items count="6">
        <item x="1"/>
        <item x="0"/>
        <item x="2"/>
        <item x="4"/>
        <item x="3"/>
        <item t="default"/>
      </items>
    </pivotField>
    <pivotField showAll="0"/>
    <pivotField showAll="0"/>
    <pivotField showAll="0"/>
    <pivotField showAll="0"/>
    <pivotField numFmtId="44" showAll="0"/>
    <pivotField numFmtId="44" showAll="0"/>
    <pivotField numFmtId="44" showAll="0"/>
    <pivotField showAll="0"/>
    <pivotField axis="axisRow" showAll="0">
      <items count="7">
        <item x="2"/>
        <item x="0"/>
        <item x="1"/>
        <item x="3"/>
        <item x="5"/>
        <item x="4"/>
        <item t="default"/>
      </items>
    </pivotField>
  </pivotFields>
  <rowFields count="1">
    <field x="18"/>
  </rowFields>
  <rowItems count="7">
    <i>
      <x/>
    </i>
    <i>
      <x v="1"/>
    </i>
    <i>
      <x v="2"/>
    </i>
    <i>
      <x v="3"/>
    </i>
    <i>
      <x v="4"/>
    </i>
    <i>
      <x v="5"/>
    </i>
    <i t="grand">
      <x/>
    </i>
  </rowItems>
  <colFields count="1">
    <field x="9"/>
  </colFields>
  <colItems count="6">
    <i>
      <x/>
    </i>
    <i>
      <x v="1"/>
    </i>
    <i>
      <x v="2"/>
    </i>
    <i>
      <x v="3"/>
    </i>
    <i>
      <x v="4"/>
    </i>
    <i t="grand">
      <x/>
    </i>
  </colItems>
  <dataFields count="1">
    <dataField name="Count of Location"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ACEE35-A972-AB48-B6B3-1FC097F92306}" name="PivotTable1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8:Q36" firstHeaderRow="1" firstDataRow="2" firstDataCol="1"/>
  <pivotFields count="19">
    <pivotField showAll="0"/>
    <pivotField numFmtId="14" showAll="0"/>
    <pivotField showAll="0">
      <items count="6">
        <item x="1"/>
        <item x="0"/>
        <item x="2"/>
        <item x="3"/>
        <item x="4"/>
        <item t="default"/>
      </items>
    </pivotField>
    <pivotField numFmtId="44" showAll="0"/>
    <pivotField showAll="0"/>
    <pivotField numFmtId="44" showAll="0"/>
    <pivotField numFmtId="6" showAll="0"/>
    <pivotField numFmtId="44" showAll="0"/>
    <pivotField showAll="0">
      <items count="5">
        <item x="2"/>
        <item x="0"/>
        <item x="3"/>
        <item x="1"/>
        <item t="default"/>
      </items>
    </pivotField>
    <pivotField axis="axisCol" showAll="0">
      <items count="6">
        <item x="1"/>
        <item x="0"/>
        <item x="2"/>
        <item x="4"/>
        <item x="3"/>
        <item t="default"/>
      </items>
    </pivotField>
    <pivotField showAll="0"/>
    <pivotField showAll="0"/>
    <pivotField showAll="0"/>
    <pivotField showAll="0"/>
    <pivotField numFmtId="44" showAll="0"/>
    <pivotField dataField="1" numFmtId="44" showAll="0"/>
    <pivotField numFmtId="44" showAll="0"/>
    <pivotField showAll="0"/>
    <pivotField axis="axisRow" showAll="0">
      <items count="7">
        <item x="2"/>
        <item x="0"/>
        <item x="1"/>
        <item x="3"/>
        <item x="5"/>
        <item x="4"/>
        <item t="default"/>
      </items>
    </pivotField>
  </pivotFields>
  <rowFields count="1">
    <field x="18"/>
  </rowFields>
  <rowItems count="7">
    <i>
      <x/>
    </i>
    <i>
      <x v="1"/>
    </i>
    <i>
      <x v="2"/>
    </i>
    <i>
      <x v="3"/>
    </i>
    <i>
      <x v="4"/>
    </i>
    <i>
      <x v="5"/>
    </i>
    <i t="grand">
      <x/>
    </i>
  </rowItems>
  <colFields count="1">
    <field x="9"/>
  </colFields>
  <colItems count="6">
    <i>
      <x/>
    </i>
    <i>
      <x v="1"/>
    </i>
    <i>
      <x v="2"/>
    </i>
    <i>
      <x v="3"/>
    </i>
    <i>
      <x v="4"/>
    </i>
    <i t="grand">
      <x/>
    </i>
  </colItems>
  <dataFields count="1">
    <dataField name="Average of Net inflation adjusted claim  (HINT: Net inflation adjusted claim = Gross inflation adjusted claim - deductible)" fld="15" subtotal="average"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A6746C-2292-FF43-8D49-7C6E243847EB}" name="PivotTable1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Q14" firstHeaderRow="1" firstDataRow="2" firstDataCol="1"/>
  <pivotFields count="19">
    <pivotField showAll="0"/>
    <pivotField numFmtId="14" showAll="0"/>
    <pivotField showAll="0">
      <items count="6">
        <item x="1"/>
        <item x="0"/>
        <item x="2"/>
        <item x="3"/>
        <item x="4"/>
        <item t="default"/>
      </items>
    </pivotField>
    <pivotField numFmtId="44" showAll="0"/>
    <pivotField showAll="0"/>
    <pivotField numFmtId="44" showAll="0"/>
    <pivotField numFmtId="6" showAll="0"/>
    <pivotField numFmtId="44" showAll="0"/>
    <pivotField showAll="0">
      <items count="5">
        <item x="2"/>
        <item x="0"/>
        <item x="3"/>
        <item x="1"/>
        <item t="default"/>
      </items>
    </pivotField>
    <pivotField axis="axisCol" showAll="0">
      <items count="6">
        <item x="1"/>
        <item x="0"/>
        <item x="2"/>
        <item x="4"/>
        <item x="3"/>
        <item t="default"/>
      </items>
    </pivotField>
    <pivotField showAll="0"/>
    <pivotField showAll="0"/>
    <pivotField showAll="0"/>
    <pivotField showAll="0"/>
    <pivotField numFmtId="44" showAll="0"/>
    <pivotField dataField="1" numFmtId="44" showAll="0"/>
    <pivotField numFmtId="44" showAll="0"/>
    <pivotField showAll="0"/>
    <pivotField axis="axisRow" showAll="0">
      <items count="7">
        <item x="2"/>
        <item x="0"/>
        <item x="1"/>
        <item x="3"/>
        <item x="5"/>
        <item x="4"/>
        <item t="default"/>
      </items>
    </pivotField>
  </pivotFields>
  <rowFields count="1">
    <field x="18"/>
  </rowFields>
  <rowItems count="7">
    <i>
      <x/>
    </i>
    <i>
      <x v="1"/>
    </i>
    <i>
      <x v="2"/>
    </i>
    <i>
      <x v="3"/>
    </i>
    <i>
      <x v="4"/>
    </i>
    <i>
      <x v="5"/>
    </i>
    <i t="grand">
      <x/>
    </i>
  </rowItems>
  <colFields count="1">
    <field x="9"/>
  </colFields>
  <colItems count="6">
    <i>
      <x/>
    </i>
    <i>
      <x v="1"/>
    </i>
    <i>
      <x v="2"/>
    </i>
    <i>
      <x v="3"/>
    </i>
    <i>
      <x v="4"/>
    </i>
    <i t="grand">
      <x/>
    </i>
  </colItems>
  <dataFields count="1">
    <dataField name="Sum of Net inflation adjusted claim  (HINT: Net inflation adjusted claim = Gross inflation adjusted claim - deductible)" fld="15"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CDF5D6-BAB9-4A46-908F-5D316DB3583F}" name="PivotTable1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9:H97" firstHeaderRow="1" firstDataRow="2" firstDataCol="1"/>
  <pivotFields count="19">
    <pivotField showAll="0"/>
    <pivotField numFmtId="14" showAll="0"/>
    <pivotField showAll="0">
      <items count="6">
        <item x="1"/>
        <item x="0"/>
        <item x="2"/>
        <item x="3"/>
        <item x="4"/>
        <item t="default"/>
      </items>
    </pivotField>
    <pivotField numFmtId="44" showAll="0"/>
    <pivotField showAll="0"/>
    <pivotField numFmtId="44" showAll="0"/>
    <pivotField numFmtId="6" showAll="0"/>
    <pivotField numFmtId="44" showAll="0"/>
    <pivotField axis="axisCol" showAll="0">
      <items count="5">
        <item x="2"/>
        <item x="0"/>
        <item x="3"/>
        <item x="1"/>
        <item t="default"/>
      </items>
    </pivotField>
    <pivotField showAll="0"/>
    <pivotField showAll="0"/>
    <pivotField showAll="0"/>
    <pivotField showAll="0"/>
    <pivotField showAll="0"/>
    <pivotField numFmtId="44" showAll="0"/>
    <pivotField dataField="1" numFmtId="44" showAll="0"/>
    <pivotField numFmtId="44" showAll="0"/>
    <pivotField showAll="0"/>
    <pivotField axis="axisRow" showAll="0">
      <items count="7">
        <item x="2"/>
        <item x="0"/>
        <item x="1"/>
        <item x="3"/>
        <item x="5"/>
        <item x="4"/>
        <item t="default"/>
      </items>
    </pivotField>
  </pivotFields>
  <rowFields count="1">
    <field x="18"/>
  </rowFields>
  <rowItems count="7">
    <i>
      <x/>
    </i>
    <i>
      <x v="1"/>
    </i>
    <i>
      <x v="2"/>
    </i>
    <i>
      <x v="3"/>
    </i>
    <i>
      <x v="4"/>
    </i>
    <i>
      <x v="5"/>
    </i>
    <i t="grand">
      <x/>
    </i>
  </rowItems>
  <colFields count="1">
    <field x="8"/>
  </colFields>
  <colItems count="5">
    <i>
      <x/>
    </i>
    <i>
      <x v="1"/>
    </i>
    <i>
      <x v="2"/>
    </i>
    <i>
      <x v="3"/>
    </i>
    <i t="grand">
      <x/>
    </i>
  </colItems>
  <dataFields count="1">
    <dataField name="Average of Net inflation adjusted claim  (HINT: Net inflation adjusted claim = Gross inflation adjusted claim - deductible)" fld="15" subtotal="average"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D5C97B-4FFE-A145-81CA-713A97753A61}" name="PivotTable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8:H86" firstHeaderRow="1" firstDataRow="2" firstDataCol="1"/>
  <pivotFields count="19">
    <pivotField showAll="0"/>
    <pivotField numFmtId="14" showAll="0"/>
    <pivotField showAll="0">
      <items count="6">
        <item x="1"/>
        <item x="0"/>
        <item x="2"/>
        <item x="3"/>
        <item x="4"/>
        <item t="default"/>
      </items>
    </pivotField>
    <pivotField numFmtId="44" showAll="0"/>
    <pivotField showAll="0"/>
    <pivotField numFmtId="44" showAll="0"/>
    <pivotField numFmtId="6" showAll="0"/>
    <pivotField numFmtId="44" showAll="0"/>
    <pivotField axis="axisCol" dataField="1" showAll="0">
      <items count="5">
        <item x="2"/>
        <item x="0"/>
        <item x="3"/>
        <item x="1"/>
        <item t="default"/>
      </items>
    </pivotField>
    <pivotField showAll="0"/>
    <pivotField showAll="0"/>
    <pivotField showAll="0"/>
    <pivotField showAll="0"/>
    <pivotField showAll="0"/>
    <pivotField numFmtId="44" showAll="0"/>
    <pivotField numFmtId="44" showAll="0"/>
    <pivotField numFmtId="44" showAll="0"/>
    <pivotField showAll="0"/>
    <pivotField axis="axisRow" showAll="0">
      <items count="7">
        <item x="2"/>
        <item x="0"/>
        <item x="1"/>
        <item x="3"/>
        <item x="5"/>
        <item x="4"/>
        <item t="default"/>
      </items>
    </pivotField>
  </pivotFields>
  <rowFields count="1">
    <field x="18"/>
  </rowFields>
  <rowItems count="7">
    <i>
      <x/>
    </i>
    <i>
      <x v="1"/>
    </i>
    <i>
      <x v="2"/>
    </i>
    <i>
      <x v="3"/>
    </i>
    <i>
      <x v="4"/>
    </i>
    <i>
      <x v="5"/>
    </i>
    <i t="grand">
      <x/>
    </i>
  </rowItems>
  <colFields count="1">
    <field x="8"/>
  </colFields>
  <colItems count="5">
    <i>
      <x/>
    </i>
    <i>
      <x v="1"/>
    </i>
    <i>
      <x v="2"/>
    </i>
    <i>
      <x v="3"/>
    </i>
    <i t="grand">
      <x/>
    </i>
  </colItems>
  <dataFields count="1">
    <dataField name="Count of Cause of Los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470F6F-7D0E-FC44-B496-527B957D0BC0}"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7:H75" firstHeaderRow="1" firstDataRow="2" firstDataCol="1"/>
  <pivotFields count="19">
    <pivotField showAll="0"/>
    <pivotField numFmtId="14" showAll="0"/>
    <pivotField showAll="0">
      <items count="6">
        <item x="1"/>
        <item x="0"/>
        <item x="2"/>
        <item x="3"/>
        <item x="4"/>
        <item t="default"/>
      </items>
    </pivotField>
    <pivotField numFmtId="44" showAll="0"/>
    <pivotField showAll="0"/>
    <pivotField numFmtId="44" showAll="0"/>
    <pivotField numFmtId="6" showAll="0"/>
    <pivotField numFmtId="44" showAll="0"/>
    <pivotField axis="axisCol" showAll="0">
      <items count="5">
        <item x="2"/>
        <item x="0"/>
        <item x="3"/>
        <item x="1"/>
        <item t="default"/>
      </items>
    </pivotField>
    <pivotField showAll="0"/>
    <pivotField showAll="0"/>
    <pivotField showAll="0"/>
    <pivotField showAll="0"/>
    <pivotField showAll="0"/>
    <pivotField numFmtId="44" showAll="0"/>
    <pivotField dataField="1" numFmtId="44" showAll="0"/>
    <pivotField numFmtId="44" showAll="0"/>
    <pivotField showAll="0"/>
    <pivotField axis="axisRow" showAll="0">
      <items count="7">
        <item x="2"/>
        <item x="0"/>
        <item x="1"/>
        <item x="3"/>
        <item x="5"/>
        <item x="4"/>
        <item t="default"/>
      </items>
    </pivotField>
  </pivotFields>
  <rowFields count="1">
    <field x="18"/>
  </rowFields>
  <rowItems count="7">
    <i>
      <x/>
    </i>
    <i>
      <x v="1"/>
    </i>
    <i>
      <x v="2"/>
    </i>
    <i>
      <x v="3"/>
    </i>
    <i>
      <x v="4"/>
    </i>
    <i>
      <x v="5"/>
    </i>
    <i t="grand">
      <x/>
    </i>
  </rowItems>
  <colFields count="1">
    <field x="8"/>
  </colFields>
  <colItems count="5">
    <i>
      <x/>
    </i>
    <i>
      <x v="1"/>
    </i>
    <i>
      <x v="2"/>
    </i>
    <i>
      <x v="3"/>
    </i>
    <i t="grand">
      <x/>
    </i>
  </colItems>
  <dataFields count="1">
    <dataField name="Average of Net inflation adjusted claim  (HINT: Net inflation adjusted claim = Gross inflation adjusted claim - deductible)" fld="15" subtotal="average"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445EA2-4392-2340-93B4-AF5C52269F1D}"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4:I62" firstHeaderRow="1" firstDataRow="2" firstDataCol="1"/>
  <pivotFields count="19">
    <pivotField showAll="0"/>
    <pivotField numFmtId="14" showAll="0"/>
    <pivotField axis="axisCol" showAll="0">
      <items count="6">
        <item x="1"/>
        <item x="0"/>
        <item x="2"/>
        <item x="3"/>
        <item x="4"/>
        <item t="default"/>
      </items>
    </pivotField>
    <pivotField numFmtId="44" showAll="0"/>
    <pivotField showAll="0"/>
    <pivotField numFmtId="44" showAll="0"/>
    <pivotField numFmtId="6" showAll="0"/>
    <pivotField numFmtId="44" showAll="0"/>
    <pivotField showAll="0">
      <items count="5">
        <item x="2"/>
        <item x="0"/>
        <item x="3"/>
        <item x="1"/>
        <item t="default"/>
      </items>
    </pivotField>
    <pivotField showAll="0"/>
    <pivotField showAll="0"/>
    <pivotField showAll="0"/>
    <pivotField showAll="0"/>
    <pivotField showAll="0"/>
    <pivotField numFmtId="44" showAll="0"/>
    <pivotField dataField="1" numFmtId="44" showAll="0"/>
    <pivotField numFmtId="44" showAll="0"/>
    <pivotField showAll="0"/>
    <pivotField axis="axisRow" showAll="0">
      <items count="7">
        <item x="2"/>
        <item x="0"/>
        <item x="1"/>
        <item x="3"/>
        <item x="5"/>
        <item x="4"/>
        <item t="default"/>
      </items>
    </pivotField>
  </pivotFields>
  <rowFields count="1">
    <field x="18"/>
  </rowFields>
  <rowItems count="7">
    <i>
      <x/>
    </i>
    <i>
      <x v="1"/>
    </i>
    <i>
      <x v="2"/>
    </i>
    <i>
      <x v="3"/>
    </i>
    <i>
      <x v="4"/>
    </i>
    <i>
      <x v="5"/>
    </i>
    <i t="grand">
      <x/>
    </i>
  </rowItems>
  <colFields count="1">
    <field x="2"/>
  </colFields>
  <colItems count="6">
    <i>
      <x/>
    </i>
    <i>
      <x v="1"/>
    </i>
    <i>
      <x v="2"/>
    </i>
    <i>
      <x v="3"/>
    </i>
    <i>
      <x v="4"/>
    </i>
    <i t="grand">
      <x/>
    </i>
  </colItems>
  <dataFields count="1">
    <dataField name="Average of Net inflation adjusted claim  (HINT: Net inflation adjusted claim = Gross inflation adjusted claim - deductible)" fld="15" subtotal="average"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B02FEE-3C8B-094F-950F-21A28BA00926}"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43:I51" firstHeaderRow="1" firstDataRow="2" firstDataCol="1"/>
  <pivotFields count="19">
    <pivotField showAll="0"/>
    <pivotField numFmtId="14" showAll="0"/>
    <pivotField axis="axisCol" dataField="1" showAll="0">
      <items count="6">
        <item x="1"/>
        <item x="0"/>
        <item x="2"/>
        <item x="3"/>
        <item x="4"/>
        <item t="default"/>
      </items>
    </pivotField>
    <pivotField numFmtId="44" showAll="0"/>
    <pivotField showAll="0"/>
    <pivotField numFmtId="44" showAll="0"/>
    <pivotField numFmtId="6" showAll="0"/>
    <pivotField numFmtId="44" showAll="0"/>
    <pivotField showAll="0"/>
    <pivotField showAll="0"/>
    <pivotField showAll="0"/>
    <pivotField showAll="0"/>
    <pivotField showAll="0"/>
    <pivotField showAll="0"/>
    <pivotField numFmtId="44" showAll="0"/>
    <pivotField numFmtId="44" showAll="0"/>
    <pivotField numFmtId="44" showAll="0"/>
    <pivotField showAll="0"/>
    <pivotField axis="axisRow" showAll="0">
      <items count="7">
        <item x="2"/>
        <item x="0"/>
        <item x="1"/>
        <item x="3"/>
        <item x="5"/>
        <item x="4"/>
        <item t="default"/>
      </items>
    </pivotField>
  </pivotFields>
  <rowFields count="1">
    <field x="18"/>
  </rowFields>
  <rowItems count="7">
    <i>
      <x/>
    </i>
    <i>
      <x v="1"/>
    </i>
    <i>
      <x v="2"/>
    </i>
    <i>
      <x v="3"/>
    </i>
    <i>
      <x v="4"/>
    </i>
    <i>
      <x v="5"/>
    </i>
    <i t="grand">
      <x/>
    </i>
  </rowItems>
  <colFields count="1">
    <field x="2"/>
  </colFields>
  <colItems count="6">
    <i>
      <x/>
    </i>
    <i>
      <x v="1"/>
    </i>
    <i>
      <x v="2"/>
    </i>
    <i>
      <x v="3"/>
    </i>
    <i>
      <x v="4"/>
    </i>
    <i t="grand">
      <x/>
    </i>
  </colItems>
  <dataFields count="1">
    <dataField name="Count of Type of Claim" fld="2" subtotal="count" baseField="0" baseItem="0"/>
  </dataField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42C1B1-E58E-974B-9FE0-F8AE3BAC59F2}"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32:I40" firstHeaderRow="1" firstDataRow="2" firstDataCol="1"/>
  <pivotFields count="19">
    <pivotField showAll="0"/>
    <pivotField numFmtId="14" showAll="0"/>
    <pivotField axis="axisCol" showAll="0">
      <items count="6">
        <item x="1"/>
        <item x="0"/>
        <item x="2"/>
        <item x="3"/>
        <item x="4"/>
        <item t="default"/>
      </items>
    </pivotField>
    <pivotField numFmtId="44" showAll="0"/>
    <pivotField showAll="0"/>
    <pivotField numFmtId="44" showAll="0"/>
    <pivotField numFmtId="6" showAll="0"/>
    <pivotField numFmtId="44" showAll="0"/>
    <pivotField showAll="0"/>
    <pivotField showAll="0"/>
    <pivotField showAll="0"/>
    <pivotField showAll="0"/>
    <pivotField showAll="0"/>
    <pivotField showAll="0"/>
    <pivotField numFmtId="44" showAll="0"/>
    <pivotField dataField="1" numFmtId="44" showAll="0"/>
    <pivotField numFmtId="44" showAll="0"/>
    <pivotField showAll="0"/>
    <pivotField axis="axisRow" showAll="0">
      <items count="7">
        <item x="2"/>
        <item x="0"/>
        <item x="1"/>
        <item x="3"/>
        <item x="5"/>
        <item x="4"/>
        <item t="default"/>
      </items>
    </pivotField>
  </pivotFields>
  <rowFields count="1">
    <field x="18"/>
  </rowFields>
  <rowItems count="7">
    <i>
      <x/>
    </i>
    <i>
      <x v="1"/>
    </i>
    <i>
      <x v="2"/>
    </i>
    <i>
      <x v="3"/>
    </i>
    <i>
      <x v="4"/>
    </i>
    <i>
      <x v="5"/>
    </i>
    <i t="grand">
      <x/>
    </i>
  </rowItems>
  <colFields count="1">
    <field x="2"/>
  </colFields>
  <colItems count="6">
    <i>
      <x/>
    </i>
    <i>
      <x v="1"/>
    </i>
    <i>
      <x v="2"/>
    </i>
    <i>
      <x v="3"/>
    </i>
    <i>
      <x v="4"/>
    </i>
    <i t="grand">
      <x/>
    </i>
  </colItems>
  <dataFields count="1">
    <dataField name="Sum of Net inflation adjusted claim  (HINT: Net inflation adjusted claim = Gross inflation adjusted claim - deductible)" fld="15" baseField="0" baseItem="0" numFmtId="44"/>
  </dataField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B3CF8B-9C24-9F4C-9E53-6ABA43029D00}"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0:D27" firstHeaderRow="1" firstDataRow="1" firstDataCol="1"/>
  <pivotFields count="19">
    <pivotField showAll="0"/>
    <pivotField numFmtId="14" showAll="0"/>
    <pivotField showAll="0"/>
    <pivotField numFmtId="44" showAll="0"/>
    <pivotField showAll="0"/>
    <pivotField numFmtId="44" showAll="0"/>
    <pivotField numFmtId="6" showAll="0"/>
    <pivotField numFmtId="44" showAll="0"/>
    <pivotField showAll="0"/>
    <pivotField showAll="0"/>
    <pivotField showAll="0"/>
    <pivotField showAll="0"/>
    <pivotField showAll="0"/>
    <pivotField showAll="0"/>
    <pivotField dataField="1" numFmtId="44" showAll="0"/>
    <pivotField numFmtId="44" showAll="0"/>
    <pivotField numFmtId="44" showAll="0"/>
    <pivotField showAll="0"/>
    <pivotField axis="axisRow" showAll="0">
      <items count="7">
        <item x="2"/>
        <item x="0"/>
        <item x="1"/>
        <item x="3"/>
        <item x="5"/>
        <item x="4"/>
        <item t="default"/>
      </items>
    </pivotField>
  </pivotFields>
  <rowFields count="1">
    <field x="18"/>
  </rowFields>
  <rowItems count="7">
    <i>
      <x/>
    </i>
    <i>
      <x v="1"/>
    </i>
    <i>
      <x v="2"/>
    </i>
    <i>
      <x v="3"/>
    </i>
    <i>
      <x v="4"/>
    </i>
    <i>
      <x v="5"/>
    </i>
    <i t="grand">
      <x/>
    </i>
  </rowItems>
  <colItems count="1">
    <i/>
  </colItems>
  <dataFields count="1">
    <dataField name="Average of Gross inflation adjusted claim (HINT: Gross inflation adjusted claim = gross claim * inflation index)" fld="14" subtotal="average"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rinterSettings" Target="../printerSettings/printerSettings2.bin"/><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9717F-2A1B-8B48-8163-88E17D632D0E}">
  <dimension ref="A3:C10"/>
  <sheetViews>
    <sheetView workbookViewId="0">
      <selection activeCell="B4" sqref="B4"/>
    </sheetView>
  </sheetViews>
  <sheetFormatPr baseColWidth="10" defaultRowHeight="16" x14ac:dyDescent="0.2"/>
  <cols>
    <col min="1" max="1" width="13" bestFit="1" customWidth="1"/>
    <col min="2" max="2" width="42.33203125" customWidth="1"/>
    <col min="3" max="3" width="22.5" customWidth="1"/>
    <col min="4" max="27" width="12.5" bestFit="1" customWidth="1"/>
    <col min="28" max="29" width="14" bestFit="1" customWidth="1"/>
    <col min="30" max="37" width="12.5" bestFit="1" customWidth="1"/>
    <col min="38" max="38" width="14" bestFit="1" customWidth="1"/>
    <col min="39" max="40" width="12.5" bestFit="1" customWidth="1"/>
    <col min="41" max="41" width="14" bestFit="1" customWidth="1"/>
    <col min="42" max="43" width="12.5" bestFit="1" customWidth="1"/>
    <col min="44" max="44" width="14" bestFit="1" customWidth="1"/>
    <col min="45" max="45" width="12.5" bestFit="1" customWidth="1"/>
    <col min="46" max="46" width="14" bestFit="1" customWidth="1"/>
    <col min="47" max="47" width="12.5" bestFit="1" customWidth="1"/>
    <col min="48" max="48" width="14" bestFit="1" customWidth="1"/>
    <col min="49" max="49" width="12.5" bestFit="1" customWidth="1"/>
    <col min="50" max="50" width="14" bestFit="1" customWidth="1"/>
    <col min="51" max="66" width="12.5" bestFit="1" customWidth="1"/>
    <col min="67" max="67" width="14" bestFit="1" customWidth="1"/>
    <col min="68" max="68" width="12.5" bestFit="1" customWidth="1"/>
    <col min="69" max="69" width="14" bestFit="1" customWidth="1"/>
    <col min="70" max="76" width="12.5" bestFit="1" customWidth="1"/>
    <col min="77" max="77" width="14" bestFit="1" customWidth="1"/>
    <col min="78" max="85" width="12.5" bestFit="1" customWidth="1"/>
    <col min="86" max="86" width="14" bestFit="1" customWidth="1"/>
    <col min="87" max="87" width="15" bestFit="1" customWidth="1"/>
  </cols>
  <sheetData>
    <row r="3" spans="1:3" x14ac:dyDescent="0.2">
      <c r="A3" s="97" t="s">
        <v>231</v>
      </c>
      <c r="B3" t="s">
        <v>240</v>
      </c>
      <c r="C3" t="s">
        <v>241</v>
      </c>
    </row>
    <row r="4" spans="1:3" x14ac:dyDescent="0.2">
      <c r="A4" s="6">
        <v>2018</v>
      </c>
      <c r="B4" s="96">
        <v>6428231.5625042599</v>
      </c>
      <c r="C4" s="96">
        <v>10</v>
      </c>
    </row>
    <row r="5" spans="1:3" x14ac:dyDescent="0.2">
      <c r="A5" s="6">
        <v>2019</v>
      </c>
      <c r="B5" s="96">
        <v>10365188.910996957</v>
      </c>
      <c r="C5" s="96">
        <v>17</v>
      </c>
    </row>
    <row r="6" spans="1:3" x14ac:dyDescent="0.2">
      <c r="A6" s="6">
        <v>2020</v>
      </c>
      <c r="B6" s="96">
        <v>12073242.220101215</v>
      </c>
      <c r="C6" s="96">
        <v>20</v>
      </c>
    </row>
    <row r="7" spans="1:3" x14ac:dyDescent="0.2">
      <c r="A7" s="6">
        <v>2021</v>
      </c>
      <c r="B7" s="96">
        <v>11966327.33605008</v>
      </c>
      <c r="C7" s="96">
        <v>20</v>
      </c>
    </row>
    <row r="8" spans="1:3" x14ac:dyDescent="0.2">
      <c r="A8" s="6">
        <v>2022</v>
      </c>
      <c r="B8" s="96">
        <v>15005684.032431997</v>
      </c>
      <c r="C8" s="96">
        <v>17</v>
      </c>
    </row>
    <row r="9" spans="1:3" x14ac:dyDescent="0.2">
      <c r="A9" s="6">
        <v>2023</v>
      </c>
      <c r="B9" s="96">
        <v>7445877.4091000007</v>
      </c>
      <c r="C9" s="96">
        <v>16</v>
      </c>
    </row>
    <row r="10" spans="1:3" x14ac:dyDescent="0.2">
      <c r="A10" s="6" t="s">
        <v>232</v>
      </c>
      <c r="B10" s="96">
        <v>63284551.471184552</v>
      </c>
      <c r="C10" s="96">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4DF57-728B-AA4E-9CFF-ED2615DD969F}">
  <dimension ref="A1:S101"/>
  <sheetViews>
    <sheetView topLeftCell="B1" zoomScale="82" zoomScaleNormal="80" workbookViewId="0">
      <pane ySplit="1" topLeftCell="A2" activePane="bottomLeft" state="frozen"/>
      <selection pane="bottomLeft" activeCell="O61" sqref="O61"/>
    </sheetView>
  </sheetViews>
  <sheetFormatPr baseColWidth="10" defaultColWidth="10.6640625" defaultRowHeight="16" x14ac:dyDescent="0.2"/>
  <cols>
    <col min="1" max="1" width="10.5" bestFit="1" customWidth="1"/>
    <col min="2" max="2" width="12.5" bestFit="1" customWidth="1"/>
    <col min="3" max="3" width="21.5" bestFit="1" customWidth="1"/>
    <col min="4" max="4" width="21.5" style="3" customWidth="1"/>
    <col min="5" max="5" width="11.33203125" customWidth="1"/>
    <col min="6" max="6" width="20" style="27" customWidth="1"/>
    <col min="7" max="7" width="16" style="84" bestFit="1" customWidth="1"/>
    <col min="8" max="8" width="12.83203125" style="3" customWidth="1"/>
    <col min="9" max="9" width="15" bestFit="1" customWidth="1"/>
    <col min="10" max="10" width="16.6640625" bestFit="1" customWidth="1"/>
    <col min="11" max="11" width="12" bestFit="1" customWidth="1"/>
    <col min="12" max="12" width="12" customWidth="1"/>
    <col min="13" max="13" width="18" bestFit="1" customWidth="1"/>
    <col min="14" max="14" width="12.6640625" bestFit="1" customWidth="1"/>
    <col min="15" max="15" width="23" style="28" bestFit="1" customWidth="1"/>
    <col min="16" max="16" width="23" style="28" customWidth="1"/>
    <col min="17" max="17" width="32.5" style="29" bestFit="1" customWidth="1"/>
    <col min="18" max="18" width="10.6640625" style="2"/>
  </cols>
  <sheetData>
    <row r="1" spans="1:19" s="77" customFormat="1" ht="25" customHeight="1" x14ac:dyDescent="0.2">
      <c r="A1" s="77" t="s">
        <v>81</v>
      </c>
      <c r="B1" s="77" t="s">
        <v>0</v>
      </c>
      <c r="C1" s="77" t="s">
        <v>1</v>
      </c>
      <c r="D1" s="78" t="s">
        <v>163</v>
      </c>
      <c r="E1" s="77" t="s">
        <v>2</v>
      </c>
      <c r="F1" s="79" t="s">
        <v>185</v>
      </c>
      <c r="G1" s="82" t="s">
        <v>3</v>
      </c>
      <c r="H1" s="78" t="s">
        <v>4</v>
      </c>
      <c r="I1" s="77" t="s">
        <v>5</v>
      </c>
      <c r="J1" s="77" t="s">
        <v>6</v>
      </c>
      <c r="K1" s="77" t="s">
        <v>7</v>
      </c>
      <c r="L1" s="77" t="s">
        <v>162</v>
      </c>
      <c r="M1" s="77" t="s">
        <v>8</v>
      </c>
      <c r="N1" s="77" t="s">
        <v>147</v>
      </c>
      <c r="O1" s="80" t="s">
        <v>186</v>
      </c>
      <c r="P1" s="80" t="s">
        <v>187</v>
      </c>
      <c r="Q1" s="81" t="s">
        <v>188</v>
      </c>
      <c r="R1" s="77" t="s">
        <v>189</v>
      </c>
      <c r="S1" s="77" t="s">
        <v>170</v>
      </c>
    </row>
    <row r="2" spans="1:19" x14ac:dyDescent="0.2">
      <c r="A2" t="s">
        <v>9</v>
      </c>
      <c r="B2" s="1">
        <v>43664</v>
      </c>
      <c r="C2" t="s">
        <v>10</v>
      </c>
      <c r="D2" s="3">
        <v>737423.28</v>
      </c>
      <c r="E2" t="s">
        <v>11</v>
      </c>
      <c r="F2" s="27">
        <f>D2+H2</f>
        <v>749769.20000000007</v>
      </c>
      <c r="G2" s="83">
        <v>5000000</v>
      </c>
      <c r="H2" s="3">
        <v>12345.92</v>
      </c>
      <c r="I2" t="s">
        <v>12</v>
      </c>
      <c r="J2" t="s">
        <v>13</v>
      </c>
      <c r="K2" t="s">
        <v>14</v>
      </c>
      <c r="L2">
        <f t="shared" ref="L2:L33" ca="1" si="0">IF(C2="Cargo Liability",RANDBETWEEN(10000,80000),IF(C2="Collision Liability",RANDBETWEEN(20000,100000),IF(C2="Environmental Pollution",RANDBETWEEN(50000,120000),IF(C2="Damage to Other Vessels",RANDBETWEEN(15000,90000),IF(C2="Injury to Third Parties",RANDBETWEEN(5000,60000))))))</f>
        <v>95613</v>
      </c>
      <c r="M2">
        <v>4</v>
      </c>
      <c r="N2">
        <f t="shared" ref="N2:N33" si="1">IF(YEAR(B2)=2023, 1.03,
   IF(YEAR(B2)=2022, 1.0506,
   IF(YEAR(B2)=2021, 1.071612,
   IF(YEAR(B2)=2020, 1.10376036,
   IF(YEAR(B2)=2019, 1.1479107744,
   IF(YEAR(B2)=2018, 1.20530631312, 1))))))</f>
        <v>1.1479107743999999</v>
      </c>
      <c r="O2" s="28">
        <f>F2*N2</f>
        <v>860668.14299326844</v>
      </c>
      <c r="P2" s="28">
        <f>O2 - H2</f>
        <v>848322.2229932684</v>
      </c>
      <c r="Q2" s="30">
        <f>MIN(P2,G2)</f>
        <v>848322.2229932684</v>
      </c>
      <c r="R2" s="2">
        <f>IF(Q2&lt;1000000,1,0)</f>
        <v>1</v>
      </c>
      <c r="S2">
        <f t="shared" ref="S2:S33" si="2">YEAR(B2)</f>
        <v>2019</v>
      </c>
    </row>
    <row r="3" spans="1:19" x14ac:dyDescent="0.2">
      <c r="A3" t="s">
        <v>15</v>
      </c>
      <c r="B3" s="1">
        <v>43978</v>
      </c>
      <c r="C3" t="s">
        <v>16</v>
      </c>
      <c r="D3" s="3">
        <v>315189.74</v>
      </c>
      <c r="E3" t="s">
        <v>11</v>
      </c>
      <c r="F3" s="27">
        <f t="shared" ref="F3:F66" si="3">D3+H3</f>
        <v>348906.5</v>
      </c>
      <c r="G3" s="83">
        <v>5000000</v>
      </c>
      <c r="H3" s="3">
        <v>33716.76</v>
      </c>
      <c r="I3" t="s">
        <v>17</v>
      </c>
      <c r="J3" t="s">
        <v>18</v>
      </c>
      <c r="K3" t="s">
        <v>19</v>
      </c>
      <c r="L3">
        <f t="shared" ca="1" si="0"/>
        <v>25912</v>
      </c>
      <c r="M3">
        <v>6</v>
      </c>
      <c r="N3">
        <f t="shared" si="1"/>
        <v>1.1037603600000001</v>
      </c>
      <c r="O3" s="28">
        <f t="shared" ref="O3:O66" si="4">F3*N3</f>
        <v>385109.16404634004</v>
      </c>
      <c r="P3" s="28">
        <f t="shared" ref="P3:P66" si="5">O3 - H3</f>
        <v>351392.40404634003</v>
      </c>
      <c r="Q3" s="30">
        <f t="shared" ref="Q3:Q66" si="6">MIN(P3,G3)</f>
        <v>351392.40404634003</v>
      </c>
      <c r="R3" s="2">
        <f t="shared" ref="R3:R66" si="7">IF(Q3&lt;1000000,1,0)</f>
        <v>1</v>
      </c>
      <c r="S3">
        <f t="shared" si="2"/>
        <v>2020</v>
      </c>
    </row>
    <row r="4" spans="1:19" x14ac:dyDescent="0.2">
      <c r="A4" t="s">
        <v>20</v>
      </c>
      <c r="B4" s="1">
        <v>43427</v>
      </c>
      <c r="C4" t="s">
        <v>21</v>
      </c>
      <c r="D4" s="3">
        <v>678364.99</v>
      </c>
      <c r="E4" t="s">
        <v>11</v>
      </c>
      <c r="F4" s="27">
        <f t="shared" si="3"/>
        <v>712761.9</v>
      </c>
      <c r="G4" s="83">
        <v>5000000</v>
      </c>
      <c r="H4" s="3">
        <v>34396.910000000003</v>
      </c>
      <c r="I4" t="s">
        <v>22</v>
      </c>
      <c r="J4" t="s">
        <v>23</v>
      </c>
      <c r="K4" t="s">
        <v>24</v>
      </c>
      <c r="L4">
        <f t="shared" ca="1" si="0"/>
        <v>85577</v>
      </c>
      <c r="M4">
        <v>3</v>
      </c>
      <c r="N4">
        <f t="shared" si="1"/>
        <v>1.2053063131199999</v>
      </c>
      <c r="O4" s="28">
        <f t="shared" si="4"/>
        <v>859096.41782140615</v>
      </c>
      <c r="P4" s="28">
        <f t="shared" si="5"/>
        <v>824699.50782140612</v>
      </c>
      <c r="Q4" s="30">
        <f t="shared" si="6"/>
        <v>824699.50782140612</v>
      </c>
      <c r="R4" s="2">
        <f t="shared" si="7"/>
        <v>1</v>
      </c>
      <c r="S4">
        <f t="shared" si="2"/>
        <v>2018</v>
      </c>
    </row>
    <row r="5" spans="1:19" x14ac:dyDescent="0.2">
      <c r="A5" t="s">
        <v>25</v>
      </c>
      <c r="B5" s="1">
        <v>44201</v>
      </c>
      <c r="C5" t="s">
        <v>26</v>
      </c>
      <c r="D5" s="3">
        <v>203840.58</v>
      </c>
      <c r="E5" t="s">
        <v>27</v>
      </c>
      <c r="F5" s="27">
        <f t="shared" si="3"/>
        <v>215544.46</v>
      </c>
      <c r="G5" s="83">
        <v>5000000</v>
      </c>
      <c r="H5" s="3">
        <v>11703.88</v>
      </c>
      <c r="I5" t="s">
        <v>28</v>
      </c>
      <c r="J5" t="s">
        <v>29</v>
      </c>
      <c r="K5" t="s">
        <v>30</v>
      </c>
      <c r="L5">
        <f t="shared" ca="1" si="0"/>
        <v>65770</v>
      </c>
      <c r="M5">
        <v>7</v>
      </c>
      <c r="N5">
        <f t="shared" si="1"/>
        <v>1.071612</v>
      </c>
      <c r="O5" s="28">
        <f t="shared" si="4"/>
        <v>230980.02986951999</v>
      </c>
      <c r="P5" s="28">
        <f t="shared" si="5"/>
        <v>219276.14986951998</v>
      </c>
      <c r="Q5" s="30">
        <f t="shared" si="6"/>
        <v>219276.14986951998</v>
      </c>
      <c r="R5" s="2">
        <f t="shared" si="7"/>
        <v>1</v>
      </c>
      <c r="S5">
        <f t="shared" si="2"/>
        <v>2021</v>
      </c>
    </row>
    <row r="6" spans="1:19" x14ac:dyDescent="0.2">
      <c r="A6" t="s">
        <v>31</v>
      </c>
      <c r="B6" s="1">
        <v>45091</v>
      </c>
      <c r="C6" t="s">
        <v>32</v>
      </c>
      <c r="D6" s="3">
        <v>98692.46</v>
      </c>
      <c r="E6" t="s">
        <v>33</v>
      </c>
      <c r="F6" s="27">
        <f t="shared" si="3"/>
        <v>146820.18</v>
      </c>
      <c r="G6" s="83">
        <v>1000000</v>
      </c>
      <c r="H6" s="3">
        <v>48127.72</v>
      </c>
      <c r="I6" t="s">
        <v>12</v>
      </c>
      <c r="J6" t="s">
        <v>13</v>
      </c>
      <c r="K6" t="s">
        <v>34</v>
      </c>
      <c r="L6">
        <f t="shared" ca="1" si="0"/>
        <v>29590</v>
      </c>
      <c r="M6">
        <v>8</v>
      </c>
      <c r="N6">
        <f t="shared" si="1"/>
        <v>1.03</v>
      </c>
      <c r="O6" s="28">
        <f t="shared" si="4"/>
        <v>151224.78539999999</v>
      </c>
      <c r="P6" s="28">
        <f t="shared" si="5"/>
        <v>103097.06539999999</v>
      </c>
      <c r="Q6" s="30">
        <f t="shared" si="6"/>
        <v>103097.06539999999</v>
      </c>
      <c r="R6" s="2">
        <f t="shared" si="7"/>
        <v>1</v>
      </c>
      <c r="S6">
        <f t="shared" si="2"/>
        <v>2023</v>
      </c>
    </row>
    <row r="7" spans="1:19" x14ac:dyDescent="0.2">
      <c r="A7" t="s">
        <v>35</v>
      </c>
      <c r="B7" s="1">
        <v>43584</v>
      </c>
      <c r="C7" t="s">
        <v>10</v>
      </c>
      <c r="D7" s="3">
        <v>243918.65</v>
      </c>
      <c r="E7" t="s">
        <v>11</v>
      </c>
      <c r="F7" s="27">
        <f t="shared" si="3"/>
        <v>254504.19</v>
      </c>
      <c r="G7" s="83">
        <v>5000000</v>
      </c>
      <c r="H7" s="3">
        <v>10585.54</v>
      </c>
      <c r="I7" t="s">
        <v>17</v>
      </c>
      <c r="J7" t="s">
        <v>18</v>
      </c>
      <c r="K7" t="s">
        <v>36</v>
      </c>
      <c r="L7">
        <f t="shared" ca="1" si="0"/>
        <v>38359</v>
      </c>
      <c r="M7">
        <v>2</v>
      </c>
      <c r="N7">
        <f t="shared" si="1"/>
        <v>1.1479107743999999</v>
      </c>
      <c r="O7" s="28">
        <f t="shared" si="4"/>
        <v>292148.10183094471</v>
      </c>
      <c r="P7" s="28">
        <f t="shared" si="5"/>
        <v>281562.56183094473</v>
      </c>
      <c r="Q7" s="30">
        <f t="shared" si="6"/>
        <v>281562.56183094473</v>
      </c>
      <c r="R7" s="2">
        <f t="shared" si="7"/>
        <v>1</v>
      </c>
      <c r="S7">
        <f t="shared" si="2"/>
        <v>2019</v>
      </c>
    </row>
    <row r="8" spans="1:19" x14ac:dyDescent="0.2">
      <c r="A8" t="s">
        <v>37</v>
      </c>
      <c r="B8" s="1">
        <v>44398</v>
      </c>
      <c r="C8" t="s">
        <v>26</v>
      </c>
      <c r="D8" s="3">
        <v>765873.46</v>
      </c>
      <c r="E8" t="s">
        <v>11</v>
      </c>
      <c r="F8" s="27">
        <f t="shared" si="3"/>
        <v>783218.83</v>
      </c>
      <c r="G8" s="83">
        <v>5000000</v>
      </c>
      <c r="H8" s="3">
        <v>17345.37</v>
      </c>
      <c r="I8" t="s">
        <v>28</v>
      </c>
      <c r="J8" t="s">
        <v>38</v>
      </c>
      <c r="K8" t="s">
        <v>39</v>
      </c>
      <c r="L8">
        <f t="shared" ca="1" si="0"/>
        <v>76741</v>
      </c>
      <c r="M8">
        <v>1</v>
      </c>
      <c r="N8">
        <f t="shared" si="1"/>
        <v>1.071612</v>
      </c>
      <c r="O8" s="28">
        <f t="shared" si="4"/>
        <v>839306.69685395993</v>
      </c>
      <c r="P8" s="28">
        <f t="shared" si="5"/>
        <v>821961.32685395994</v>
      </c>
      <c r="Q8" s="30">
        <f t="shared" si="6"/>
        <v>821961.32685395994</v>
      </c>
      <c r="R8" s="2">
        <f t="shared" si="7"/>
        <v>1</v>
      </c>
      <c r="S8">
        <f t="shared" si="2"/>
        <v>2021</v>
      </c>
    </row>
    <row r="9" spans="1:19" x14ac:dyDescent="0.2">
      <c r="A9" t="s">
        <v>40</v>
      </c>
      <c r="B9" s="1">
        <v>44638</v>
      </c>
      <c r="C9" t="s">
        <v>21</v>
      </c>
      <c r="D9" s="3">
        <v>913843.77</v>
      </c>
      <c r="E9" t="s">
        <v>11</v>
      </c>
      <c r="F9" s="27">
        <f t="shared" si="3"/>
        <v>939444.11</v>
      </c>
      <c r="G9" s="83">
        <v>5000000</v>
      </c>
      <c r="H9" s="3">
        <v>25600.34</v>
      </c>
      <c r="I9" t="s">
        <v>22</v>
      </c>
      <c r="J9" t="s">
        <v>18</v>
      </c>
      <c r="K9" t="s">
        <v>41</v>
      </c>
      <c r="L9">
        <f t="shared" ca="1" si="0"/>
        <v>83478</v>
      </c>
      <c r="M9">
        <v>0</v>
      </c>
      <c r="N9">
        <f t="shared" si="1"/>
        <v>1.0506</v>
      </c>
      <c r="O9" s="28">
        <f t="shared" si="4"/>
        <v>986979.98196599993</v>
      </c>
      <c r="P9" s="28">
        <f t="shared" si="5"/>
        <v>961379.64196599997</v>
      </c>
      <c r="Q9" s="30">
        <f t="shared" si="6"/>
        <v>961379.64196599997</v>
      </c>
      <c r="R9" s="2">
        <f t="shared" si="7"/>
        <v>1</v>
      </c>
      <c r="S9">
        <f t="shared" si="2"/>
        <v>2022</v>
      </c>
    </row>
    <row r="10" spans="1:19" x14ac:dyDescent="0.2">
      <c r="A10" t="s">
        <v>42</v>
      </c>
      <c r="B10" s="1">
        <v>44150</v>
      </c>
      <c r="C10" t="s">
        <v>16</v>
      </c>
      <c r="D10" s="3">
        <v>754890.21</v>
      </c>
      <c r="E10" t="s">
        <v>11</v>
      </c>
      <c r="F10" s="27">
        <f t="shared" si="3"/>
        <v>793074.64999999991</v>
      </c>
      <c r="G10" s="83">
        <v>5000000</v>
      </c>
      <c r="H10" s="3">
        <v>38184.44</v>
      </c>
      <c r="I10" t="s">
        <v>17</v>
      </c>
      <c r="J10" t="s">
        <v>23</v>
      </c>
      <c r="K10" t="s">
        <v>43</v>
      </c>
      <c r="L10">
        <f t="shared" ca="1" si="0"/>
        <v>63327</v>
      </c>
      <c r="M10">
        <v>6</v>
      </c>
      <c r="N10">
        <f t="shared" si="1"/>
        <v>1.1037603600000001</v>
      </c>
      <c r="O10" s="28">
        <f t="shared" si="4"/>
        <v>875364.36119087401</v>
      </c>
      <c r="P10" s="28">
        <f t="shared" si="5"/>
        <v>837179.92119087395</v>
      </c>
      <c r="Q10" s="30">
        <f t="shared" si="6"/>
        <v>837179.92119087395</v>
      </c>
      <c r="R10" s="2">
        <f t="shared" si="7"/>
        <v>1</v>
      </c>
      <c r="S10">
        <f t="shared" si="2"/>
        <v>2020</v>
      </c>
    </row>
    <row r="11" spans="1:19" x14ac:dyDescent="0.2">
      <c r="A11" t="s">
        <v>44</v>
      </c>
      <c r="B11" s="1">
        <v>43258</v>
      </c>
      <c r="C11" t="s">
        <v>10</v>
      </c>
      <c r="D11" s="3">
        <v>600293.27</v>
      </c>
      <c r="E11" t="s">
        <v>27</v>
      </c>
      <c r="F11" s="27">
        <f t="shared" si="3"/>
        <v>601436.52</v>
      </c>
      <c r="G11" s="83">
        <v>5000000</v>
      </c>
      <c r="H11" s="3">
        <v>1143.25</v>
      </c>
      <c r="I11" t="s">
        <v>12</v>
      </c>
      <c r="J11" t="s">
        <v>18</v>
      </c>
      <c r="K11" t="s">
        <v>45</v>
      </c>
      <c r="L11">
        <f t="shared" ca="1" si="0"/>
        <v>28014</v>
      </c>
      <c r="M11">
        <v>5</v>
      </c>
      <c r="N11">
        <f t="shared" si="1"/>
        <v>1.2053063131199999</v>
      </c>
      <c r="O11" s="28">
        <f t="shared" si="4"/>
        <v>724915.23449692316</v>
      </c>
      <c r="P11" s="28">
        <f t="shared" si="5"/>
        <v>723771.98449692316</v>
      </c>
      <c r="Q11" s="30">
        <f t="shared" si="6"/>
        <v>723771.98449692316</v>
      </c>
      <c r="R11" s="2">
        <f t="shared" si="7"/>
        <v>1</v>
      </c>
      <c r="S11">
        <f t="shared" si="2"/>
        <v>2018</v>
      </c>
    </row>
    <row r="12" spans="1:19" x14ac:dyDescent="0.2">
      <c r="A12" t="s">
        <v>46</v>
      </c>
      <c r="B12" s="1">
        <v>44251</v>
      </c>
      <c r="C12" t="s">
        <v>26</v>
      </c>
      <c r="D12" s="3">
        <v>320726.12</v>
      </c>
      <c r="E12" t="s">
        <v>11</v>
      </c>
      <c r="F12" s="27">
        <f t="shared" si="3"/>
        <v>363045.08999999997</v>
      </c>
      <c r="G12" s="83">
        <v>5000000</v>
      </c>
      <c r="H12" s="3">
        <v>42318.97</v>
      </c>
      <c r="I12" t="s">
        <v>17</v>
      </c>
      <c r="J12" t="s">
        <v>38</v>
      </c>
      <c r="K12" t="s">
        <v>47</v>
      </c>
      <c r="L12">
        <f t="shared" ca="1" si="0"/>
        <v>79002</v>
      </c>
      <c r="M12">
        <v>7</v>
      </c>
      <c r="N12">
        <f t="shared" si="1"/>
        <v>1.071612</v>
      </c>
      <c r="O12" s="28">
        <f t="shared" si="4"/>
        <v>389043.47498507996</v>
      </c>
      <c r="P12" s="28">
        <f t="shared" si="5"/>
        <v>346724.50498507998</v>
      </c>
      <c r="Q12" s="30">
        <f t="shared" si="6"/>
        <v>346724.50498507998</v>
      </c>
      <c r="R12" s="2">
        <f t="shared" si="7"/>
        <v>1</v>
      </c>
      <c r="S12">
        <f t="shared" si="2"/>
        <v>2021</v>
      </c>
    </row>
    <row r="13" spans="1:19" x14ac:dyDescent="0.2">
      <c r="A13" t="s">
        <v>48</v>
      </c>
      <c r="B13" s="1">
        <v>44180</v>
      </c>
      <c r="C13" t="s">
        <v>16</v>
      </c>
      <c r="D13" s="3">
        <v>195238.55</v>
      </c>
      <c r="E13" t="s">
        <v>11</v>
      </c>
      <c r="F13" s="27">
        <f t="shared" si="3"/>
        <v>220873.24</v>
      </c>
      <c r="G13" s="83">
        <v>1000000</v>
      </c>
      <c r="H13" s="3">
        <v>25634.69</v>
      </c>
      <c r="I13" t="s">
        <v>22</v>
      </c>
      <c r="J13" t="s">
        <v>23</v>
      </c>
      <c r="K13" t="s">
        <v>49</v>
      </c>
      <c r="L13">
        <f t="shared" ca="1" si="0"/>
        <v>69557</v>
      </c>
      <c r="M13">
        <v>8</v>
      </c>
      <c r="N13">
        <f t="shared" si="1"/>
        <v>1.1037603600000001</v>
      </c>
      <c r="O13" s="28">
        <f t="shared" si="4"/>
        <v>243791.12689676642</v>
      </c>
      <c r="P13" s="28">
        <f t="shared" si="5"/>
        <v>218156.43689676642</v>
      </c>
      <c r="Q13" s="30">
        <f t="shared" si="6"/>
        <v>218156.43689676642</v>
      </c>
      <c r="R13" s="2">
        <f t="shared" si="7"/>
        <v>1</v>
      </c>
      <c r="S13">
        <f t="shared" si="2"/>
        <v>2020</v>
      </c>
    </row>
    <row r="14" spans="1:19" x14ac:dyDescent="0.2">
      <c r="A14" t="s">
        <v>50</v>
      </c>
      <c r="B14" s="1">
        <v>44794</v>
      </c>
      <c r="C14" t="s">
        <v>10</v>
      </c>
      <c r="D14" s="3">
        <v>158738.94</v>
      </c>
      <c r="E14" t="s">
        <v>33</v>
      </c>
      <c r="F14" s="27">
        <f t="shared" si="3"/>
        <v>188195.05</v>
      </c>
      <c r="G14" s="83">
        <v>1000000</v>
      </c>
      <c r="H14" s="3">
        <v>29456.11</v>
      </c>
      <c r="I14" t="s">
        <v>12</v>
      </c>
      <c r="J14" t="s">
        <v>13</v>
      </c>
      <c r="K14" t="s">
        <v>51</v>
      </c>
      <c r="L14">
        <f t="shared" ca="1" si="0"/>
        <v>51224</v>
      </c>
      <c r="M14">
        <v>3</v>
      </c>
      <c r="N14">
        <f t="shared" si="1"/>
        <v>1.0506</v>
      </c>
      <c r="O14" s="28">
        <f t="shared" si="4"/>
        <v>197717.71952999997</v>
      </c>
      <c r="P14" s="28">
        <f t="shared" si="5"/>
        <v>168261.60952999996</v>
      </c>
      <c r="Q14" s="30">
        <f t="shared" si="6"/>
        <v>168261.60952999996</v>
      </c>
      <c r="R14" s="2">
        <f t="shared" si="7"/>
        <v>1</v>
      </c>
      <c r="S14">
        <f t="shared" si="2"/>
        <v>2022</v>
      </c>
    </row>
    <row r="15" spans="1:19" x14ac:dyDescent="0.2">
      <c r="A15" t="s">
        <v>52</v>
      </c>
      <c r="B15" s="1">
        <v>44937</v>
      </c>
      <c r="C15" t="s">
        <v>21</v>
      </c>
      <c r="D15" s="3">
        <v>125309.18</v>
      </c>
      <c r="E15" t="s">
        <v>11</v>
      </c>
      <c r="F15" s="27">
        <f t="shared" si="3"/>
        <v>140287.41</v>
      </c>
      <c r="G15" s="83">
        <v>1000000</v>
      </c>
      <c r="H15" s="3">
        <v>14978.23</v>
      </c>
      <c r="I15" t="s">
        <v>22</v>
      </c>
      <c r="J15" t="s">
        <v>29</v>
      </c>
      <c r="K15" t="s">
        <v>53</v>
      </c>
      <c r="L15">
        <f t="shared" ca="1" si="0"/>
        <v>35234</v>
      </c>
      <c r="M15">
        <v>2</v>
      </c>
      <c r="N15">
        <f t="shared" si="1"/>
        <v>1.03</v>
      </c>
      <c r="O15" s="28">
        <f t="shared" si="4"/>
        <v>144496.03230000002</v>
      </c>
      <c r="P15" s="28">
        <f t="shared" si="5"/>
        <v>129517.80230000002</v>
      </c>
      <c r="Q15" s="30">
        <f t="shared" si="6"/>
        <v>129517.80230000002</v>
      </c>
      <c r="R15" s="2">
        <f t="shared" si="7"/>
        <v>1</v>
      </c>
      <c r="S15">
        <f t="shared" si="2"/>
        <v>2023</v>
      </c>
    </row>
    <row r="16" spans="1:19" x14ac:dyDescent="0.2">
      <c r="A16" t="s">
        <v>54</v>
      </c>
      <c r="B16" s="1">
        <v>43738</v>
      </c>
      <c r="C16" t="s">
        <v>26</v>
      </c>
      <c r="D16" s="3">
        <v>701924.64</v>
      </c>
      <c r="E16" t="s">
        <v>27</v>
      </c>
      <c r="F16" s="27">
        <f t="shared" si="3"/>
        <v>726627.31</v>
      </c>
      <c r="G16" s="83">
        <v>5000000</v>
      </c>
      <c r="H16" s="3">
        <v>24702.67</v>
      </c>
      <c r="I16" t="s">
        <v>17</v>
      </c>
      <c r="J16" t="s">
        <v>18</v>
      </c>
      <c r="K16" t="s">
        <v>55</v>
      </c>
      <c r="L16">
        <f t="shared" ca="1" si="0"/>
        <v>119285</v>
      </c>
      <c r="M16">
        <v>6</v>
      </c>
      <c r="N16">
        <f t="shared" si="1"/>
        <v>1.1479107743999999</v>
      </c>
      <c r="O16" s="28">
        <f t="shared" si="4"/>
        <v>834103.31812228879</v>
      </c>
      <c r="P16" s="28">
        <f t="shared" si="5"/>
        <v>809400.64812228875</v>
      </c>
      <c r="Q16" s="30">
        <f t="shared" si="6"/>
        <v>809400.64812228875</v>
      </c>
      <c r="R16" s="2">
        <f t="shared" si="7"/>
        <v>1</v>
      </c>
      <c r="S16">
        <f t="shared" si="2"/>
        <v>2019</v>
      </c>
    </row>
    <row r="17" spans="1:19" x14ac:dyDescent="0.2">
      <c r="A17" t="s">
        <v>56</v>
      </c>
      <c r="B17" s="1">
        <v>43294</v>
      </c>
      <c r="C17" t="s">
        <v>32</v>
      </c>
      <c r="D17" s="3">
        <v>590732.85</v>
      </c>
      <c r="E17" t="s">
        <v>11</v>
      </c>
      <c r="F17" s="27">
        <f t="shared" si="3"/>
        <v>600165.35</v>
      </c>
      <c r="G17" s="83">
        <v>5000000</v>
      </c>
      <c r="H17" s="3">
        <v>9432.5</v>
      </c>
      <c r="I17" t="s">
        <v>28</v>
      </c>
      <c r="J17" t="s">
        <v>23</v>
      </c>
      <c r="K17" t="s">
        <v>57</v>
      </c>
      <c r="L17">
        <f t="shared" ca="1" si="0"/>
        <v>46310</v>
      </c>
      <c r="M17">
        <v>4</v>
      </c>
      <c r="N17">
        <f t="shared" si="1"/>
        <v>1.2053063131199999</v>
      </c>
      <c r="O17" s="28">
        <f t="shared" si="4"/>
        <v>723383.08527087432</v>
      </c>
      <c r="P17" s="28">
        <f t="shared" si="5"/>
        <v>713950.58527087432</v>
      </c>
      <c r="Q17" s="30">
        <f t="shared" si="6"/>
        <v>713950.58527087432</v>
      </c>
      <c r="R17" s="2">
        <f t="shared" si="7"/>
        <v>1</v>
      </c>
      <c r="S17">
        <f t="shared" si="2"/>
        <v>2018</v>
      </c>
    </row>
    <row r="18" spans="1:19" x14ac:dyDescent="0.2">
      <c r="A18" t="s">
        <v>58</v>
      </c>
      <c r="B18" s="1">
        <v>44288</v>
      </c>
      <c r="C18" t="s">
        <v>10</v>
      </c>
      <c r="D18" s="3">
        <v>358145.93</v>
      </c>
      <c r="E18" t="s">
        <v>11</v>
      </c>
      <c r="F18" s="27">
        <f t="shared" si="3"/>
        <v>375066.3</v>
      </c>
      <c r="G18" s="83">
        <v>2000000</v>
      </c>
      <c r="H18" s="3">
        <v>16920.37</v>
      </c>
      <c r="I18" t="s">
        <v>12</v>
      </c>
      <c r="J18" t="s">
        <v>29</v>
      </c>
      <c r="K18" t="s">
        <v>59</v>
      </c>
      <c r="L18">
        <f t="shared" ca="1" si="0"/>
        <v>82909</v>
      </c>
      <c r="M18">
        <v>7</v>
      </c>
      <c r="N18">
        <f t="shared" si="1"/>
        <v>1.071612</v>
      </c>
      <c r="O18" s="28">
        <f t="shared" si="4"/>
        <v>401925.54787559999</v>
      </c>
      <c r="P18" s="28">
        <f t="shared" si="5"/>
        <v>385005.1778756</v>
      </c>
      <c r="Q18" s="30">
        <f t="shared" si="6"/>
        <v>385005.1778756</v>
      </c>
      <c r="R18" s="2">
        <f t="shared" si="7"/>
        <v>1</v>
      </c>
      <c r="S18">
        <f t="shared" si="2"/>
        <v>2021</v>
      </c>
    </row>
    <row r="19" spans="1:19" x14ac:dyDescent="0.2">
      <c r="A19" t="s">
        <v>60</v>
      </c>
      <c r="B19" s="1">
        <v>43641</v>
      </c>
      <c r="C19" t="s">
        <v>21</v>
      </c>
      <c r="D19" s="3">
        <v>453896.75</v>
      </c>
      <c r="E19" t="s">
        <v>11</v>
      </c>
      <c r="F19" s="27">
        <f t="shared" si="3"/>
        <v>492825.48</v>
      </c>
      <c r="G19" s="83">
        <v>500000</v>
      </c>
      <c r="H19" s="3">
        <v>38928.730000000003</v>
      </c>
      <c r="I19" t="s">
        <v>22</v>
      </c>
      <c r="J19" t="s">
        <v>38</v>
      </c>
      <c r="K19" t="s">
        <v>43</v>
      </c>
      <c r="L19">
        <f t="shared" ca="1" si="0"/>
        <v>79023</v>
      </c>
      <c r="M19">
        <v>5</v>
      </c>
      <c r="N19">
        <f t="shared" si="1"/>
        <v>1.1479107743999999</v>
      </c>
      <c r="O19" s="28">
        <f t="shared" si="4"/>
        <v>565719.67839085159</v>
      </c>
      <c r="P19" s="28">
        <f t="shared" si="5"/>
        <v>526790.94839085161</v>
      </c>
      <c r="Q19" s="30">
        <f t="shared" si="6"/>
        <v>500000</v>
      </c>
      <c r="R19" s="2">
        <f t="shared" si="7"/>
        <v>1</v>
      </c>
      <c r="S19">
        <f t="shared" si="2"/>
        <v>2019</v>
      </c>
    </row>
    <row r="20" spans="1:19" x14ac:dyDescent="0.2">
      <c r="A20" t="s">
        <v>61</v>
      </c>
      <c r="B20" s="1">
        <v>44754</v>
      </c>
      <c r="C20" t="s">
        <v>16</v>
      </c>
      <c r="D20" s="3">
        <v>195984.65</v>
      </c>
      <c r="E20" t="s">
        <v>33</v>
      </c>
      <c r="F20" s="27">
        <f t="shared" si="3"/>
        <v>215631.84</v>
      </c>
      <c r="G20" s="83">
        <v>500000</v>
      </c>
      <c r="H20" s="3">
        <v>19647.189999999999</v>
      </c>
      <c r="I20" t="s">
        <v>17</v>
      </c>
      <c r="J20" t="s">
        <v>13</v>
      </c>
      <c r="K20" t="s">
        <v>45</v>
      </c>
      <c r="L20">
        <f t="shared" ca="1" si="0"/>
        <v>41435</v>
      </c>
      <c r="M20">
        <v>3</v>
      </c>
      <c r="N20">
        <f t="shared" si="1"/>
        <v>1.0506</v>
      </c>
      <c r="O20" s="28">
        <f t="shared" si="4"/>
        <v>226542.81110399999</v>
      </c>
      <c r="P20" s="28">
        <f t="shared" si="5"/>
        <v>206895.62110399999</v>
      </c>
      <c r="Q20" s="30">
        <f t="shared" si="6"/>
        <v>206895.62110399999</v>
      </c>
      <c r="R20" s="2">
        <f t="shared" si="7"/>
        <v>1</v>
      </c>
      <c r="S20">
        <f t="shared" si="2"/>
        <v>2022</v>
      </c>
    </row>
    <row r="21" spans="1:19" x14ac:dyDescent="0.2">
      <c r="A21" t="s">
        <v>62</v>
      </c>
      <c r="B21" s="1">
        <v>43910</v>
      </c>
      <c r="C21" t="s">
        <v>26</v>
      </c>
      <c r="D21" s="3">
        <v>472804.33</v>
      </c>
      <c r="E21" t="s">
        <v>27</v>
      </c>
      <c r="F21" s="27">
        <f t="shared" si="3"/>
        <v>518485.62</v>
      </c>
      <c r="G21" s="83">
        <v>5000000</v>
      </c>
      <c r="H21" s="3">
        <v>45681.29</v>
      </c>
      <c r="I21" t="s">
        <v>28</v>
      </c>
      <c r="J21" t="s">
        <v>18</v>
      </c>
      <c r="K21" t="s">
        <v>39</v>
      </c>
      <c r="L21">
        <f t="shared" ca="1" si="0"/>
        <v>90039</v>
      </c>
      <c r="M21">
        <v>8</v>
      </c>
      <c r="N21">
        <f t="shared" si="1"/>
        <v>1.1037603600000001</v>
      </c>
      <c r="O21" s="28">
        <f t="shared" si="4"/>
        <v>572283.87458602327</v>
      </c>
      <c r="P21" s="28">
        <f t="shared" si="5"/>
        <v>526602.58458602324</v>
      </c>
      <c r="Q21" s="30">
        <f t="shared" si="6"/>
        <v>526602.58458602324</v>
      </c>
      <c r="R21" s="2">
        <f t="shared" si="7"/>
        <v>1</v>
      </c>
      <c r="S21">
        <f t="shared" si="2"/>
        <v>2020</v>
      </c>
    </row>
    <row r="22" spans="1:19" x14ac:dyDescent="0.2">
      <c r="A22" t="s">
        <v>63</v>
      </c>
      <c r="B22" s="1">
        <v>45076</v>
      </c>
      <c r="C22" t="s">
        <v>32</v>
      </c>
      <c r="D22" s="3">
        <v>87924.45</v>
      </c>
      <c r="E22" t="s">
        <v>11</v>
      </c>
      <c r="F22" s="27">
        <f t="shared" si="3"/>
        <v>111522.66</v>
      </c>
      <c r="G22" s="83">
        <v>500000</v>
      </c>
      <c r="H22" s="3">
        <v>23598.21</v>
      </c>
      <c r="I22" t="s">
        <v>17</v>
      </c>
      <c r="J22" t="s">
        <v>38</v>
      </c>
      <c r="K22" t="s">
        <v>51</v>
      </c>
      <c r="L22">
        <f t="shared" ca="1" si="0"/>
        <v>23002</v>
      </c>
      <c r="M22">
        <v>4</v>
      </c>
      <c r="N22">
        <f t="shared" si="1"/>
        <v>1.03</v>
      </c>
      <c r="O22" s="28">
        <f t="shared" si="4"/>
        <v>114868.3398</v>
      </c>
      <c r="P22" s="28">
        <f t="shared" si="5"/>
        <v>91270.129799999995</v>
      </c>
      <c r="Q22" s="30">
        <f t="shared" si="6"/>
        <v>91270.129799999995</v>
      </c>
      <c r="R22" s="2">
        <f t="shared" si="7"/>
        <v>1</v>
      </c>
      <c r="S22">
        <f t="shared" si="2"/>
        <v>2023</v>
      </c>
    </row>
    <row r="23" spans="1:19" x14ac:dyDescent="0.2">
      <c r="A23" t="s">
        <v>64</v>
      </c>
      <c r="B23" s="1">
        <v>44533</v>
      </c>
      <c r="C23" t="s">
        <v>10</v>
      </c>
      <c r="D23" s="3">
        <v>654327.44999999995</v>
      </c>
      <c r="E23" t="s">
        <v>11</v>
      </c>
      <c r="F23" s="27">
        <f t="shared" si="3"/>
        <v>673030.17999999993</v>
      </c>
      <c r="G23" s="83">
        <v>5000000</v>
      </c>
      <c r="H23" s="3">
        <v>18702.73</v>
      </c>
      <c r="I23" t="s">
        <v>12</v>
      </c>
      <c r="J23" t="s">
        <v>18</v>
      </c>
      <c r="K23" t="s">
        <v>65</v>
      </c>
      <c r="L23">
        <f t="shared" ca="1" si="0"/>
        <v>50100</v>
      </c>
      <c r="M23">
        <v>7</v>
      </c>
      <c r="N23">
        <f t="shared" si="1"/>
        <v>1.071612</v>
      </c>
      <c r="O23" s="28">
        <f t="shared" si="4"/>
        <v>721227.21725015994</v>
      </c>
      <c r="P23" s="28">
        <f t="shared" si="5"/>
        <v>702524.48725015996</v>
      </c>
      <c r="Q23" s="30">
        <f t="shared" si="6"/>
        <v>702524.48725015996</v>
      </c>
      <c r="R23" s="2">
        <f t="shared" si="7"/>
        <v>1</v>
      </c>
      <c r="S23">
        <f t="shared" si="2"/>
        <v>2021</v>
      </c>
    </row>
    <row r="24" spans="1:19" x14ac:dyDescent="0.2">
      <c r="A24" t="s">
        <v>66</v>
      </c>
      <c r="B24" s="1">
        <v>43993</v>
      </c>
      <c r="C24" t="s">
        <v>21</v>
      </c>
      <c r="D24" s="3">
        <v>231548.73</v>
      </c>
      <c r="E24" t="s">
        <v>27</v>
      </c>
      <c r="F24" s="27">
        <f t="shared" si="3"/>
        <v>268477.11</v>
      </c>
      <c r="G24" s="83">
        <v>500000</v>
      </c>
      <c r="H24" s="3">
        <v>36928.379999999997</v>
      </c>
      <c r="I24" t="s">
        <v>22</v>
      </c>
      <c r="J24" t="s">
        <v>29</v>
      </c>
      <c r="K24" t="s">
        <v>24</v>
      </c>
      <c r="L24">
        <f t="shared" ca="1" si="0"/>
        <v>17550</v>
      </c>
      <c r="M24">
        <v>5</v>
      </c>
      <c r="N24">
        <f t="shared" si="1"/>
        <v>1.1037603600000001</v>
      </c>
      <c r="O24" s="28">
        <f t="shared" si="4"/>
        <v>296334.39158535964</v>
      </c>
      <c r="P24" s="28">
        <f t="shared" si="5"/>
        <v>259406.01158535964</v>
      </c>
      <c r="Q24" s="30">
        <f t="shared" si="6"/>
        <v>259406.01158535964</v>
      </c>
      <c r="R24" s="2">
        <f t="shared" si="7"/>
        <v>1</v>
      </c>
      <c r="S24">
        <f t="shared" si="2"/>
        <v>2020</v>
      </c>
    </row>
    <row r="25" spans="1:19" x14ac:dyDescent="0.2">
      <c r="A25" t="s">
        <v>67</v>
      </c>
      <c r="B25" s="1">
        <v>43695</v>
      </c>
      <c r="C25" t="s">
        <v>26</v>
      </c>
      <c r="D25" s="3">
        <v>194738.52</v>
      </c>
      <c r="E25" t="s">
        <v>33</v>
      </c>
      <c r="F25" s="27">
        <f t="shared" si="3"/>
        <v>210177.78999999998</v>
      </c>
      <c r="G25" s="83">
        <v>500000</v>
      </c>
      <c r="H25" s="3">
        <v>15439.27</v>
      </c>
      <c r="I25" t="s">
        <v>28</v>
      </c>
      <c r="J25" t="s">
        <v>13</v>
      </c>
      <c r="K25" t="s">
        <v>30</v>
      </c>
      <c r="L25">
        <f t="shared" ca="1" si="0"/>
        <v>107779</v>
      </c>
      <c r="M25">
        <v>8</v>
      </c>
      <c r="N25">
        <f t="shared" si="1"/>
        <v>1.1479107743999999</v>
      </c>
      <c r="O25" s="28">
        <f t="shared" si="4"/>
        <v>241265.34968058052</v>
      </c>
      <c r="P25" s="28">
        <f t="shared" si="5"/>
        <v>225826.07968058053</v>
      </c>
      <c r="Q25" s="30">
        <f t="shared" si="6"/>
        <v>225826.07968058053</v>
      </c>
      <c r="R25" s="2">
        <f t="shared" si="7"/>
        <v>1</v>
      </c>
      <c r="S25">
        <f t="shared" si="2"/>
        <v>2019</v>
      </c>
    </row>
    <row r="26" spans="1:19" x14ac:dyDescent="0.2">
      <c r="A26" t="s">
        <v>68</v>
      </c>
      <c r="B26" s="1">
        <v>44818</v>
      </c>
      <c r="C26" t="s">
        <v>16</v>
      </c>
      <c r="D26" s="3">
        <v>872394.65</v>
      </c>
      <c r="E26" t="s">
        <v>11</v>
      </c>
      <c r="F26" s="27">
        <f t="shared" si="3"/>
        <v>896897.03</v>
      </c>
      <c r="G26" s="83">
        <v>10000000</v>
      </c>
      <c r="H26" s="3">
        <v>24502.38</v>
      </c>
      <c r="I26" t="s">
        <v>12</v>
      </c>
      <c r="J26" t="s">
        <v>23</v>
      </c>
      <c r="K26" t="s">
        <v>19</v>
      </c>
      <c r="L26">
        <f t="shared" ca="1" si="0"/>
        <v>49323</v>
      </c>
      <c r="M26">
        <v>2</v>
      </c>
      <c r="N26">
        <f t="shared" si="1"/>
        <v>1.0506</v>
      </c>
      <c r="O26" s="28">
        <f t="shared" si="4"/>
        <v>942280.01971799997</v>
      </c>
      <c r="P26" s="28">
        <f t="shared" si="5"/>
        <v>917777.63971799996</v>
      </c>
      <c r="Q26" s="30">
        <f t="shared" si="6"/>
        <v>917777.63971799996</v>
      </c>
      <c r="R26" s="2">
        <f t="shared" si="7"/>
        <v>1</v>
      </c>
      <c r="S26">
        <f t="shared" si="2"/>
        <v>2022</v>
      </c>
    </row>
    <row r="27" spans="1:19" x14ac:dyDescent="0.2">
      <c r="A27" t="s">
        <v>69</v>
      </c>
      <c r="B27" s="1">
        <v>43223</v>
      </c>
      <c r="C27" t="s">
        <v>10</v>
      </c>
      <c r="D27" s="3">
        <v>508739.15</v>
      </c>
      <c r="E27" t="s">
        <v>11</v>
      </c>
      <c r="F27" s="27">
        <f t="shared" si="3"/>
        <v>520721.69</v>
      </c>
      <c r="G27" s="83">
        <v>5000000</v>
      </c>
      <c r="H27" s="3">
        <v>11982.54</v>
      </c>
      <c r="I27" t="s">
        <v>17</v>
      </c>
      <c r="J27" t="s">
        <v>38</v>
      </c>
      <c r="K27" t="s">
        <v>14</v>
      </c>
      <c r="L27">
        <f t="shared" ca="1" si="0"/>
        <v>52487</v>
      </c>
      <c r="M27">
        <v>3</v>
      </c>
      <c r="N27">
        <f t="shared" si="1"/>
        <v>1.2053063131199999</v>
      </c>
      <c r="O27" s="28">
        <f t="shared" si="4"/>
        <v>627629.14033551549</v>
      </c>
      <c r="P27" s="28">
        <f t="shared" si="5"/>
        <v>615646.60033551545</v>
      </c>
      <c r="Q27" s="30">
        <f t="shared" si="6"/>
        <v>615646.60033551545</v>
      </c>
      <c r="R27" s="2">
        <f t="shared" si="7"/>
        <v>1</v>
      </c>
      <c r="S27">
        <f t="shared" si="2"/>
        <v>2018</v>
      </c>
    </row>
    <row r="28" spans="1:19" x14ac:dyDescent="0.2">
      <c r="A28" t="s">
        <v>70</v>
      </c>
      <c r="B28" s="1">
        <v>44497</v>
      </c>
      <c r="C28" t="s">
        <v>21</v>
      </c>
      <c r="D28" s="3">
        <v>376234.78</v>
      </c>
      <c r="E28" t="s">
        <v>11</v>
      </c>
      <c r="F28" s="27">
        <f t="shared" si="3"/>
        <v>405983.4</v>
      </c>
      <c r="G28" s="83">
        <v>2000000</v>
      </c>
      <c r="H28" s="3">
        <v>29748.62</v>
      </c>
      <c r="I28" t="s">
        <v>22</v>
      </c>
      <c r="J28" t="s">
        <v>13</v>
      </c>
      <c r="K28" t="s">
        <v>49</v>
      </c>
      <c r="L28">
        <f t="shared" ca="1" si="0"/>
        <v>70355</v>
      </c>
      <c r="M28">
        <v>7</v>
      </c>
      <c r="N28">
        <f t="shared" si="1"/>
        <v>1.071612</v>
      </c>
      <c r="O28" s="28">
        <f t="shared" si="4"/>
        <v>435056.68324080005</v>
      </c>
      <c r="P28" s="28">
        <f t="shared" si="5"/>
        <v>405308.06324080005</v>
      </c>
      <c r="Q28" s="30">
        <f t="shared" si="6"/>
        <v>405308.06324080005</v>
      </c>
      <c r="R28" s="2">
        <f t="shared" si="7"/>
        <v>1</v>
      </c>
      <c r="S28">
        <f t="shared" si="2"/>
        <v>2021</v>
      </c>
    </row>
    <row r="29" spans="1:19" x14ac:dyDescent="0.2">
      <c r="A29" t="s">
        <v>71</v>
      </c>
      <c r="B29" s="1">
        <v>43937</v>
      </c>
      <c r="C29" t="s">
        <v>26</v>
      </c>
      <c r="D29" s="3">
        <v>129803.75</v>
      </c>
      <c r="E29" t="s">
        <v>33</v>
      </c>
      <c r="F29" s="27">
        <f t="shared" si="3"/>
        <v>162723.88</v>
      </c>
      <c r="G29" s="83">
        <v>1000000</v>
      </c>
      <c r="H29" s="3">
        <v>32920.129999999997</v>
      </c>
      <c r="I29" t="s">
        <v>28</v>
      </c>
      <c r="J29" t="s">
        <v>29</v>
      </c>
      <c r="K29" t="s">
        <v>72</v>
      </c>
      <c r="L29">
        <f t="shared" ca="1" si="0"/>
        <v>96199</v>
      </c>
      <c r="M29">
        <v>4</v>
      </c>
      <c r="N29">
        <f t="shared" si="1"/>
        <v>1.1037603600000001</v>
      </c>
      <c r="O29" s="28">
        <f t="shared" si="4"/>
        <v>179608.16836939682</v>
      </c>
      <c r="P29" s="28">
        <f t="shared" si="5"/>
        <v>146688.03836939682</v>
      </c>
      <c r="Q29" s="30">
        <f t="shared" si="6"/>
        <v>146688.03836939682</v>
      </c>
      <c r="R29" s="2">
        <f t="shared" si="7"/>
        <v>1</v>
      </c>
      <c r="S29">
        <f t="shared" si="2"/>
        <v>2020</v>
      </c>
    </row>
    <row r="30" spans="1:19" x14ac:dyDescent="0.2">
      <c r="A30" t="s">
        <v>73</v>
      </c>
      <c r="B30" s="1">
        <v>45114</v>
      </c>
      <c r="C30" t="s">
        <v>16</v>
      </c>
      <c r="D30" s="3">
        <v>731235.83999999997</v>
      </c>
      <c r="E30" t="s">
        <v>11</v>
      </c>
      <c r="F30" s="27">
        <f t="shared" si="3"/>
        <v>750172.09</v>
      </c>
      <c r="G30" s="83">
        <v>5000000</v>
      </c>
      <c r="H30" s="3">
        <v>18936.25</v>
      </c>
      <c r="I30" t="s">
        <v>17</v>
      </c>
      <c r="J30" t="s">
        <v>18</v>
      </c>
      <c r="K30" t="s">
        <v>55</v>
      </c>
      <c r="L30">
        <f t="shared" ca="1" si="0"/>
        <v>19722</v>
      </c>
      <c r="M30">
        <v>2</v>
      </c>
      <c r="N30">
        <f t="shared" si="1"/>
        <v>1.03</v>
      </c>
      <c r="O30" s="28">
        <f t="shared" si="4"/>
        <v>772677.25269999995</v>
      </c>
      <c r="P30" s="28">
        <f t="shared" si="5"/>
        <v>753741.00269999995</v>
      </c>
      <c r="Q30" s="30">
        <f t="shared" si="6"/>
        <v>753741.00269999995</v>
      </c>
      <c r="R30" s="2">
        <f t="shared" si="7"/>
        <v>1</v>
      </c>
      <c r="S30">
        <f t="shared" si="2"/>
        <v>2023</v>
      </c>
    </row>
    <row r="31" spans="1:19" x14ac:dyDescent="0.2">
      <c r="A31" t="s">
        <v>74</v>
      </c>
      <c r="B31" s="1">
        <v>43487</v>
      </c>
      <c r="C31" t="s">
        <v>10</v>
      </c>
      <c r="D31" s="3">
        <v>158924.78</v>
      </c>
      <c r="E31" t="s">
        <v>11</v>
      </c>
      <c r="F31" s="27">
        <f t="shared" si="3"/>
        <v>174653.73</v>
      </c>
      <c r="G31" s="83">
        <v>1000000</v>
      </c>
      <c r="H31" s="3">
        <v>15728.95</v>
      </c>
      <c r="I31" t="s">
        <v>12</v>
      </c>
      <c r="J31" t="s">
        <v>38</v>
      </c>
      <c r="K31" t="s">
        <v>57</v>
      </c>
      <c r="L31">
        <f t="shared" ca="1" si="0"/>
        <v>69150</v>
      </c>
      <c r="M31">
        <v>6</v>
      </c>
      <c r="N31">
        <f t="shared" si="1"/>
        <v>1.1479107743999999</v>
      </c>
      <c r="O31" s="28">
        <f t="shared" si="4"/>
        <v>200486.89845614851</v>
      </c>
      <c r="P31" s="28">
        <f t="shared" si="5"/>
        <v>184757.9484561485</v>
      </c>
      <c r="Q31" s="30">
        <f t="shared" si="6"/>
        <v>184757.9484561485</v>
      </c>
      <c r="R31" s="2">
        <f t="shared" si="7"/>
        <v>1</v>
      </c>
      <c r="S31">
        <f t="shared" si="2"/>
        <v>2019</v>
      </c>
    </row>
    <row r="32" spans="1:19" x14ac:dyDescent="0.2">
      <c r="A32" t="s">
        <v>75</v>
      </c>
      <c r="B32" s="1">
        <v>44874</v>
      </c>
      <c r="C32" t="s">
        <v>21</v>
      </c>
      <c r="D32" s="3">
        <v>439832.24</v>
      </c>
      <c r="E32" t="s">
        <v>11</v>
      </c>
      <c r="F32" s="27">
        <f t="shared" si="3"/>
        <v>471636.18</v>
      </c>
      <c r="G32" s="83">
        <v>2000000</v>
      </c>
      <c r="H32" s="3">
        <v>31803.94</v>
      </c>
      <c r="I32" t="s">
        <v>22</v>
      </c>
      <c r="J32" t="s">
        <v>18</v>
      </c>
      <c r="K32" t="s">
        <v>76</v>
      </c>
      <c r="L32">
        <f t="shared" ca="1" si="0"/>
        <v>72559</v>
      </c>
      <c r="M32">
        <v>8</v>
      </c>
      <c r="N32">
        <f t="shared" si="1"/>
        <v>1.0506</v>
      </c>
      <c r="O32" s="28">
        <f t="shared" si="4"/>
        <v>495500.97070800001</v>
      </c>
      <c r="P32" s="28">
        <f t="shared" si="5"/>
        <v>463697.03070800001</v>
      </c>
      <c r="Q32" s="30">
        <f t="shared" si="6"/>
        <v>463697.03070800001</v>
      </c>
      <c r="R32" s="2">
        <f t="shared" si="7"/>
        <v>1</v>
      </c>
      <c r="S32">
        <f t="shared" si="2"/>
        <v>2022</v>
      </c>
    </row>
    <row r="33" spans="1:19" x14ac:dyDescent="0.2">
      <c r="A33" t="s">
        <v>77</v>
      </c>
      <c r="B33" s="1">
        <v>44056</v>
      </c>
      <c r="C33" t="s">
        <v>26</v>
      </c>
      <c r="D33" s="3">
        <v>690239.58</v>
      </c>
      <c r="E33" t="s">
        <v>33</v>
      </c>
      <c r="F33" s="27">
        <f t="shared" si="3"/>
        <v>717632.12</v>
      </c>
      <c r="G33" s="83">
        <v>5000000</v>
      </c>
      <c r="H33" s="3">
        <v>27392.54</v>
      </c>
      <c r="I33" t="s">
        <v>28</v>
      </c>
      <c r="J33" t="s">
        <v>23</v>
      </c>
      <c r="K33" t="s">
        <v>36</v>
      </c>
      <c r="L33">
        <f t="shared" ca="1" si="0"/>
        <v>55865</v>
      </c>
      <c r="M33">
        <v>7</v>
      </c>
      <c r="N33">
        <f t="shared" si="1"/>
        <v>1.1037603600000001</v>
      </c>
      <c r="O33" s="28">
        <f t="shared" si="4"/>
        <v>792093.88711876329</v>
      </c>
      <c r="P33" s="28">
        <f t="shared" si="5"/>
        <v>764701.34711876325</v>
      </c>
      <c r="Q33" s="30">
        <f t="shared" si="6"/>
        <v>764701.34711876325</v>
      </c>
      <c r="R33" s="2">
        <f t="shared" si="7"/>
        <v>1</v>
      </c>
      <c r="S33">
        <f t="shared" si="2"/>
        <v>2020</v>
      </c>
    </row>
    <row r="34" spans="1:19" x14ac:dyDescent="0.2">
      <c r="A34" t="s">
        <v>78</v>
      </c>
      <c r="B34" s="1">
        <v>44350</v>
      </c>
      <c r="C34" t="s">
        <v>32</v>
      </c>
      <c r="D34" s="3">
        <v>215983.48</v>
      </c>
      <c r="E34" t="s">
        <v>11</v>
      </c>
      <c r="F34" s="27">
        <f t="shared" si="3"/>
        <v>236967.86000000002</v>
      </c>
      <c r="G34" s="83">
        <v>2000000</v>
      </c>
      <c r="H34" s="3">
        <v>20984.38</v>
      </c>
      <c r="I34" t="s">
        <v>17</v>
      </c>
      <c r="J34" t="s">
        <v>13</v>
      </c>
      <c r="K34" t="s">
        <v>53</v>
      </c>
      <c r="L34">
        <f t="shared" ref="L34:L65" ca="1" si="8">IF(C34="Cargo Liability",RANDBETWEEN(10000,80000),IF(C34="Collision Liability",RANDBETWEEN(20000,100000),IF(C34="Environmental Pollution",RANDBETWEEN(50000,120000),IF(C34="Damage to Other Vessels",RANDBETWEEN(15000,90000),IF(C34="Injury to Third Parties",RANDBETWEEN(5000,60000))))))</f>
        <v>14326</v>
      </c>
      <c r="M34">
        <v>4</v>
      </c>
      <c r="N34">
        <f t="shared" ref="N34:N65" si="9">IF(YEAR(B34)=2023, 1.03,
   IF(YEAR(B34)=2022, 1.0506,
   IF(YEAR(B34)=2021, 1.071612,
   IF(YEAR(B34)=2020, 1.10376036,
   IF(YEAR(B34)=2019, 1.1479107744,
   IF(YEAR(B34)=2018, 1.20530631312, 1))))))</f>
        <v>1.071612</v>
      </c>
      <c r="O34" s="28">
        <f t="shared" si="4"/>
        <v>253937.60239032001</v>
      </c>
      <c r="P34" s="28">
        <f t="shared" si="5"/>
        <v>232953.22239032001</v>
      </c>
      <c r="Q34" s="30">
        <f t="shared" si="6"/>
        <v>232953.22239032001</v>
      </c>
      <c r="R34" s="2">
        <f t="shared" si="7"/>
        <v>1</v>
      </c>
      <c r="S34">
        <f t="shared" ref="S34:S66" si="10">YEAR(B34)</f>
        <v>2021</v>
      </c>
    </row>
    <row r="35" spans="1:19" x14ac:dyDescent="0.2">
      <c r="A35" t="s">
        <v>79</v>
      </c>
      <c r="B35" s="1">
        <v>43785</v>
      </c>
      <c r="C35" t="s">
        <v>10</v>
      </c>
      <c r="D35" s="3">
        <v>507983.42</v>
      </c>
      <c r="E35" t="s">
        <v>27</v>
      </c>
      <c r="F35" s="27">
        <f t="shared" si="3"/>
        <v>543166.67999999993</v>
      </c>
      <c r="G35" s="83">
        <v>5000000</v>
      </c>
      <c r="H35" s="3">
        <v>35183.26</v>
      </c>
      <c r="I35" t="s">
        <v>12</v>
      </c>
      <c r="J35" t="s">
        <v>29</v>
      </c>
      <c r="K35" t="s">
        <v>43</v>
      </c>
      <c r="L35">
        <f t="shared" ca="1" si="8"/>
        <v>34169</v>
      </c>
      <c r="M35">
        <v>2</v>
      </c>
      <c r="N35">
        <f t="shared" si="9"/>
        <v>1.1479107743999999</v>
      </c>
      <c r="O35" s="28">
        <f t="shared" si="4"/>
        <v>623506.88426707685</v>
      </c>
      <c r="P35" s="28">
        <f t="shared" si="5"/>
        <v>588323.62426707684</v>
      </c>
      <c r="Q35" s="30">
        <f t="shared" si="6"/>
        <v>588323.62426707684</v>
      </c>
      <c r="R35" s="2">
        <f t="shared" si="7"/>
        <v>1</v>
      </c>
      <c r="S35">
        <f t="shared" si="10"/>
        <v>2019</v>
      </c>
    </row>
    <row r="36" spans="1:19" x14ac:dyDescent="0.2">
      <c r="A36" t="s">
        <v>80</v>
      </c>
      <c r="B36" s="1">
        <v>43463</v>
      </c>
      <c r="C36" t="s">
        <v>21</v>
      </c>
      <c r="D36" s="3">
        <v>451973.22</v>
      </c>
      <c r="E36" t="s">
        <v>11</v>
      </c>
      <c r="F36" s="27">
        <f t="shared" si="3"/>
        <v>480319.12999999995</v>
      </c>
      <c r="G36" s="83">
        <v>500000</v>
      </c>
      <c r="H36" s="3">
        <v>28345.91</v>
      </c>
      <c r="I36" t="s">
        <v>22</v>
      </c>
      <c r="J36" t="s">
        <v>23</v>
      </c>
      <c r="K36" t="s">
        <v>41</v>
      </c>
      <c r="L36">
        <f t="shared" ca="1" si="8"/>
        <v>42853</v>
      </c>
      <c r="M36">
        <v>4</v>
      </c>
      <c r="N36">
        <f t="shared" si="9"/>
        <v>1.2053063131199999</v>
      </c>
      <c r="O36" s="28">
        <f t="shared" si="4"/>
        <v>578931.67970130593</v>
      </c>
      <c r="P36" s="28">
        <f t="shared" si="5"/>
        <v>550585.76970130589</v>
      </c>
      <c r="Q36" s="30">
        <f t="shared" si="6"/>
        <v>500000</v>
      </c>
      <c r="R36" s="2">
        <f t="shared" si="7"/>
        <v>1</v>
      </c>
      <c r="S36">
        <f t="shared" si="10"/>
        <v>2018</v>
      </c>
    </row>
    <row r="37" spans="1:19" x14ac:dyDescent="0.2">
      <c r="A37" t="s">
        <v>82</v>
      </c>
      <c r="B37" s="1">
        <v>44423</v>
      </c>
      <c r="C37" t="s">
        <v>16</v>
      </c>
      <c r="D37" s="3">
        <v>289524.33</v>
      </c>
      <c r="E37" t="s">
        <v>11</v>
      </c>
      <c r="F37" s="27">
        <f t="shared" si="3"/>
        <v>314363.61</v>
      </c>
      <c r="G37" s="83">
        <v>2000000</v>
      </c>
      <c r="H37" s="3">
        <v>24839.279999999999</v>
      </c>
      <c r="I37" t="s">
        <v>17</v>
      </c>
      <c r="J37" t="s">
        <v>18</v>
      </c>
      <c r="K37" t="s">
        <v>47</v>
      </c>
      <c r="L37">
        <f t="shared" ca="1" si="8"/>
        <v>31177</v>
      </c>
      <c r="M37">
        <v>3</v>
      </c>
      <c r="N37">
        <f t="shared" si="9"/>
        <v>1.071612</v>
      </c>
      <c r="O37" s="28">
        <f t="shared" si="4"/>
        <v>336875.81683932</v>
      </c>
      <c r="P37" s="28">
        <f t="shared" si="5"/>
        <v>312036.53683931998</v>
      </c>
      <c r="Q37" s="30">
        <f t="shared" si="6"/>
        <v>312036.53683931998</v>
      </c>
      <c r="R37" s="2">
        <f t="shared" si="7"/>
        <v>1</v>
      </c>
      <c r="S37">
        <f t="shared" si="10"/>
        <v>2021</v>
      </c>
    </row>
    <row r="38" spans="1:19" x14ac:dyDescent="0.2">
      <c r="A38" t="s">
        <v>83</v>
      </c>
      <c r="B38" s="1">
        <v>43867</v>
      </c>
      <c r="C38" t="s">
        <v>26</v>
      </c>
      <c r="D38" s="3">
        <v>674832.75</v>
      </c>
      <c r="E38" t="s">
        <v>27</v>
      </c>
      <c r="F38" s="27">
        <f t="shared" si="3"/>
        <v>716116.29</v>
      </c>
      <c r="G38" s="83">
        <v>5000000</v>
      </c>
      <c r="H38" s="3">
        <v>41283.54</v>
      </c>
      <c r="I38" t="s">
        <v>28</v>
      </c>
      <c r="J38" t="s">
        <v>29</v>
      </c>
      <c r="K38" t="s">
        <v>34</v>
      </c>
      <c r="L38">
        <f t="shared" ca="1" si="8"/>
        <v>118855</v>
      </c>
      <c r="M38">
        <v>5</v>
      </c>
      <c r="N38">
        <f t="shared" si="9"/>
        <v>1.1037603600000001</v>
      </c>
      <c r="O38" s="28">
        <f t="shared" si="4"/>
        <v>790420.77405226452</v>
      </c>
      <c r="P38" s="28">
        <f t="shared" si="5"/>
        <v>749137.23405226448</v>
      </c>
      <c r="Q38" s="30">
        <f t="shared" si="6"/>
        <v>749137.23405226448</v>
      </c>
      <c r="R38" s="2">
        <f t="shared" si="7"/>
        <v>1</v>
      </c>
      <c r="S38">
        <f t="shared" si="10"/>
        <v>2020</v>
      </c>
    </row>
    <row r="39" spans="1:19" x14ac:dyDescent="0.2">
      <c r="A39" t="s">
        <v>84</v>
      </c>
      <c r="B39" s="1">
        <v>45027</v>
      </c>
      <c r="C39" t="s">
        <v>32</v>
      </c>
      <c r="D39" s="3">
        <v>289523.34000000003</v>
      </c>
      <c r="E39" t="s">
        <v>33</v>
      </c>
      <c r="F39" s="27">
        <f t="shared" si="3"/>
        <v>316918.08</v>
      </c>
      <c r="G39" s="83">
        <v>2000000</v>
      </c>
      <c r="H39" s="3">
        <v>27394.74</v>
      </c>
      <c r="I39" t="s">
        <v>12</v>
      </c>
      <c r="J39" t="s">
        <v>38</v>
      </c>
      <c r="K39" t="s">
        <v>65</v>
      </c>
      <c r="L39">
        <f t="shared" ca="1" si="8"/>
        <v>19192</v>
      </c>
      <c r="M39">
        <v>8</v>
      </c>
      <c r="N39">
        <f t="shared" si="9"/>
        <v>1.03</v>
      </c>
      <c r="O39" s="28">
        <f t="shared" si="4"/>
        <v>326425.62240000005</v>
      </c>
      <c r="P39" s="28">
        <f t="shared" si="5"/>
        <v>299030.88240000006</v>
      </c>
      <c r="Q39" s="30">
        <f t="shared" si="6"/>
        <v>299030.88240000006</v>
      </c>
      <c r="R39" s="2">
        <f t="shared" si="7"/>
        <v>1</v>
      </c>
      <c r="S39">
        <f t="shared" si="10"/>
        <v>2023</v>
      </c>
    </row>
    <row r="40" spans="1:19" x14ac:dyDescent="0.2">
      <c r="A40" t="s">
        <v>85</v>
      </c>
      <c r="B40" s="1">
        <v>44571</v>
      </c>
      <c r="C40" t="s">
        <v>10</v>
      </c>
      <c r="D40" s="3">
        <v>492783.45</v>
      </c>
      <c r="E40" t="s">
        <v>11</v>
      </c>
      <c r="F40" s="27">
        <f t="shared" si="3"/>
        <v>512067.73</v>
      </c>
      <c r="G40" s="83">
        <v>2000000</v>
      </c>
      <c r="H40" s="3">
        <v>19284.28</v>
      </c>
      <c r="I40" t="s">
        <v>17</v>
      </c>
      <c r="J40" t="s">
        <v>13</v>
      </c>
      <c r="K40" t="s">
        <v>39</v>
      </c>
      <c r="L40">
        <f t="shared" ca="1" si="8"/>
        <v>58147</v>
      </c>
      <c r="M40">
        <v>6</v>
      </c>
      <c r="N40">
        <f t="shared" si="9"/>
        <v>1.0506</v>
      </c>
      <c r="O40" s="28">
        <f t="shared" si="4"/>
        <v>537978.35713799996</v>
      </c>
      <c r="P40" s="28">
        <f t="shared" si="5"/>
        <v>518694.07713799994</v>
      </c>
      <c r="Q40" s="30">
        <f t="shared" si="6"/>
        <v>518694.07713799994</v>
      </c>
      <c r="R40" s="2">
        <f t="shared" si="7"/>
        <v>1</v>
      </c>
      <c r="S40">
        <f t="shared" si="10"/>
        <v>2022</v>
      </c>
    </row>
    <row r="41" spans="1:19" x14ac:dyDescent="0.2">
      <c r="A41" t="s">
        <v>86</v>
      </c>
      <c r="B41" s="1">
        <v>43711</v>
      </c>
      <c r="C41" t="s">
        <v>21</v>
      </c>
      <c r="D41" s="3">
        <v>812739.57</v>
      </c>
      <c r="E41" t="s">
        <v>11</v>
      </c>
      <c r="F41" s="27">
        <f t="shared" si="3"/>
        <v>851033.0199999999</v>
      </c>
      <c r="G41" s="83">
        <v>5000000</v>
      </c>
      <c r="H41" s="3">
        <v>38293.449999999997</v>
      </c>
      <c r="I41" t="s">
        <v>22</v>
      </c>
      <c r="J41" t="s">
        <v>38</v>
      </c>
      <c r="K41" t="s">
        <v>72</v>
      </c>
      <c r="L41">
        <f t="shared" ca="1" si="8"/>
        <v>25542</v>
      </c>
      <c r="M41">
        <v>7</v>
      </c>
      <c r="N41">
        <f t="shared" si="9"/>
        <v>1.1479107743999999</v>
      </c>
      <c r="O41" s="28">
        <f t="shared" si="4"/>
        <v>976909.97302817053</v>
      </c>
      <c r="P41" s="28">
        <f t="shared" si="5"/>
        <v>938616.52302817057</v>
      </c>
      <c r="Q41" s="30">
        <f t="shared" si="6"/>
        <v>938616.52302817057</v>
      </c>
      <c r="R41" s="2">
        <f t="shared" si="7"/>
        <v>1</v>
      </c>
      <c r="S41">
        <f t="shared" si="10"/>
        <v>2019</v>
      </c>
    </row>
    <row r="42" spans="1:19" x14ac:dyDescent="0.2">
      <c r="A42" t="s">
        <v>87</v>
      </c>
      <c r="B42" s="1">
        <v>44514</v>
      </c>
      <c r="C42" t="s">
        <v>26</v>
      </c>
      <c r="D42" s="3">
        <v>523987.21</v>
      </c>
      <c r="E42" t="s">
        <v>27</v>
      </c>
      <c r="F42" s="27">
        <f t="shared" si="3"/>
        <v>549880.48</v>
      </c>
      <c r="G42" s="83">
        <v>5000000</v>
      </c>
      <c r="H42" s="3">
        <v>25893.27</v>
      </c>
      <c r="I42" t="s">
        <v>28</v>
      </c>
      <c r="J42" t="s">
        <v>18</v>
      </c>
      <c r="K42" t="s">
        <v>45</v>
      </c>
      <c r="L42">
        <f t="shared" ca="1" si="8"/>
        <v>100215</v>
      </c>
      <c r="M42">
        <v>2</v>
      </c>
      <c r="N42">
        <f t="shared" si="9"/>
        <v>1.071612</v>
      </c>
      <c r="O42" s="28">
        <f t="shared" si="4"/>
        <v>589258.52093375998</v>
      </c>
      <c r="P42" s="28">
        <f t="shared" si="5"/>
        <v>563365.25093375996</v>
      </c>
      <c r="Q42" s="30">
        <f t="shared" si="6"/>
        <v>563365.25093375996</v>
      </c>
      <c r="R42" s="2">
        <f t="shared" si="7"/>
        <v>1</v>
      </c>
      <c r="S42">
        <f t="shared" si="10"/>
        <v>2021</v>
      </c>
    </row>
    <row r="43" spans="1:19" x14ac:dyDescent="0.2">
      <c r="A43" t="s">
        <v>88</v>
      </c>
      <c r="B43" s="1">
        <v>44985</v>
      </c>
      <c r="C43" t="s">
        <v>16</v>
      </c>
      <c r="D43" s="3">
        <v>392873.65</v>
      </c>
      <c r="E43" t="s">
        <v>11</v>
      </c>
      <c r="F43" s="27">
        <f t="shared" si="3"/>
        <v>424721.10000000003</v>
      </c>
      <c r="G43" s="83">
        <v>2000000</v>
      </c>
      <c r="H43" s="3">
        <v>31847.45</v>
      </c>
      <c r="I43" t="s">
        <v>17</v>
      </c>
      <c r="J43" t="s">
        <v>23</v>
      </c>
      <c r="K43" t="s">
        <v>19</v>
      </c>
      <c r="L43">
        <f t="shared" ca="1" si="8"/>
        <v>25499</v>
      </c>
      <c r="M43">
        <v>5</v>
      </c>
      <c r="N43">
        <f t="shared" si="9"/>
        <v>1.03</v>
      </c>
      <c r="O43" s="28">
        <f t="shared" si="4"/>
        <v>437462.73300000007</v>
      </c>
      <c r="P43" s="28">
        <f t="shared" si="5"/>
        <v>405615.28300000005</v>
      </c>
      <c r="Q43" s="30">
        <f t="shared" si="6"/>
        <v>405615.28300000005</v>
      </c>
      <c r="R43" s="2">
        <f t="shared" si="7"/>
        <v>1</v>
      </c>
      <c r="S43">
        <f t="shared" si="10"/>
        <v>2023</v>
      </c>
    </row>
    <row r="44" spans="1:19" x14ac:dyDescent="0.2">
      <c r="A44" t="s">
        <v>89</v>
      </c>
      <c r="B44" s="1">
        <v>44033</v>
      </c>
      <c r="C44" t="s">
        <v>32</v>
      </c>
      <c r="D44" s="3">
        <v>539278.54</v>
      </c>
      <c r="E44" t="s">
        <v>11</v>
      </c>
      <c r="F44" s="27">
        <f t="shared" si="3"/>
        <v>557573.29</v>
      </c>
      <c r="G44" s="83">
        <v>5000000</v>
      </c>
      <c r="H44" s="3">
        <v>18294.75</v>
      </c>
      <c r="I44" t="s">
        <v>12</v>
      </c>
      <c r="J44" t="s">
        <v>29</v>
      </c>
      <c r="K44" t="s">
        <v>59</v>
      </c>
      <c r="L44">
        <f t="shared" ca="1" si="8"/>
        <v>48220</v>
      </c>
      <c r="M44">
        <v>3</v>
      </c>
      <c r="N44">
        <f t="shared" si="9"/>
        <v>1.1037603600000001</v>
      </c>
      <c r="O44" s="28">
        <f t="shared" si="4"/>
        <v>615427.29529678449</v>
      </c>
      <c r="P44" s="28">
        <f t="shared" si="5"/>
        <v>597132.54529678449</v>
      </c>
      <c r="Q44" s="30">
        <f t="shared" si="6"/>
        <v>597132.54529678449</v>
      </c>
      <c r="R44" s="2">
        <f t="shared" si="7"/>
        <v>1</v>
      </c>
      <c r="S44">
        <f t="shared" si="10"/>
        <v>2020</v>
      </c>
    </row>
    <row r="45" spans="1:19" x14ac:dyDescent="0.2">
      <c r="A45" t="s">
        <v>90</v>
      </c>
      <c r="B45" s="1">
        <v>43178</v>
      </c>
      <c r="C45" t="s">
        <v>10</v>
      </c>
      <c r="D45" s="3">
        <v>283973.44</v>
      </c>
      <c r="E45" t="s">
        <v>27</v>
      </c>
      <c r="F45" s="27">
        <f t="shared" si="3"/>
        <v>300456.98</v>
      </c>
      <c r="G45" s="83">
        <v>2000000</v>
      </c>
      <c r="H45" s="3">
        <v>16483.54</v>
      </c>
      <c r="I45" t="s">
        <v>12</v>
      </c>
      <c r="J45" t="s">
        <v>13</v>
      </c>
      <c r="K45" t="s">
        <v>14</v>
      </c>
      <c r="L45">
        <f t="shared" ca="1" si="8"/>
        <v>62024</v>
      </c>
      <c r="M45">
        <v>4</v>
      </c>
      <c r="N45">
        <f t="shared" si="9"/>
        <v>1.2053063131199999</v>
      </c>
      <c r="O45" s="28">
        <f t="shared" si="4"/>
        <v>362142.69481496955</v>
      </c>
      <c r="P45" s="28">
        <f t="shared" si="5"/>
        <v>345659.15481496957</v>
      </c>
      <c r="Q45" s="30">
        <f t="shared" si="6"/>
        <v>345659.15481496957</v>
      </c>
      <c r="R45" s="2">
        <f t="shared" si="7"/>
        <v>1</v>
      </c>
      <c r="S45">
        <f t="shared" si="10"/>
        <v>2018</v>
      </c>
    </row>
    <row r="46" spans="1:19" x14ac:dyDescent="0.2">
      <c r="A46" t="s">
        <v>91</v>
      </c>
      <c r="B46" s="1">
        <v>44738</v>
      </c>
      <c r="C46" t="s">
        <v>21</v>
      </c>
      <c r="D46" s="3">
        <v>482839.65</v>
      </c>
      <c r="E46" t="s">
        <v>11</v>
      </c>
      <c r="F46" s="27">
        <f t="shared" si="3"/>
        <v>518138.29000000004</v>
      </c>
      <c r="G46" s="83">
        <v>5000000</v>
      </c>
      <c r="H46" s="3">
        <v>35298.639999999999</v>
      </c>
      <c r="I46" t="s">
        <v>22</v>
      </c>
      <c r="J46" t="s">
        <v>38</v>
      </c>
      <c r="K46" t="s">
        <v>47</v>
      </c>
      <c r="L46">
        <f t="shared" ca="1" si="8"/>
        <v>81431</v>
      </c>
      <c r="M46">
        <v>1</v>
      </c>
      <c r="N46">
        <f t="shared" si="9"/>
        <v>1.0506</v>
      </c>
      <c r="O46" s="28">
        <f t="shared" si="4"/>
        <v>544356.08747400006</v>
      </c>
      <c r="P46" s="28">
        <f t="shared" si="5"/>
        <v>509057.44747400004</v>
      </c>
      <c r="Q46" s="30">
        <f t="shared" si="6"/>
        <v>509057.44747400004</v>
      </c>
      <c r="R46" s="2">
        <f t="shared" si="7"/>
        <v>1</v>
      </c>
      <c r="S46">
        <f t="shared" si="10"/>
        <v>2022</v>
      </c>
    </row>
    <row r="47" spans="1:19" x14ac:dyDescent="0.2">
      <c r="A47" t="s">
        <v>92</v>
      </c>
      <c r="B47" s="1">
        <v>44472</v>
      </c>
      <c r="C47" t="s">
        <v>26</v>
      </c>
      <c r="D47" s="3">
        <v>683482.94</v>
      </c>
      <c r="E47" t="s">
        <v>33</v>
      </c>
      <c r="F47" s="27">
        <f t="shared" si="3"/>
        <v>716430.78999999992</v>
      </c>
      <c r="G47" s="83">
        <v>5000000</v>
      </c>
      <c r="H47" s="3">
        <v>32947.85</v>
      </c>
      <c r="I47" t="s">
        <v>28</v>
      </c>
      <c r="J47" t="s">
        <v>18</v>
      </c>
      <c r="K47" t="s">
        <v>36</v>
      </c>
      <c r="L47">
        <f t="shared" ca="1" si="8"/>
        <v>55719</v>
      </c>
      <c r="M47">
        <v>6</v>
      </c>
      <c r="N47">
        <f t="shared" si="9"/>
        <v>1.071612</v>
      </c>
      <c r="O47" s="28">
        <f t="shared" si="4"/>
        <v>767735.83173347998</v>
      </c>
      <c r="P47" s="28">
        <f t="shared" si="5"/>
        <v>734787.98173348</v>
      </c>
      <c r="Q47" s="30">
        <f t="shared" si="6"/>
        <v>734787.98173348</v>
      </c>
      <c r="R47" s="2">
        <f t="shared" si="7"/>
        <v>1</v>
      </c>
      <c r="S47">
        <f t="shared" si="10"/>
        <v>2021</v>
      </c>
    </row>
    <row r="48" spans="1:19" x14ac:dyDescent="0.2">
      <c r="A48" t="s">
        <v>93</v>
      </c>
      <c r="B48" s="1">
        <v>43847</v>
      </c>
      <c r="C48" t="s">
        <v>16</v>
      </c>
      <c r="D48" s="3">
        <v>783948.23</v>
      </c>
      <c r="E48" t="s">
        <v>11</v>
      </c>
      <c r="F48" s="27">
        <f t="shared" si="3"/>
        <v>813530.62</v>
      </c>
      <c r="G48" s="83">
        <v>5000000</v>
      </c>
      <c r="H48" s="3">
        <v>29582.39</v>
      </c>
      <c r="I48" t="s">
        <v>17</v>
      </c>
      <c r="J48" t="s">
        <v>23</v>
      </c>
      <c r="K48" t="s">
        <v>55</v>
      </c>
      <c r="L48">
        <f t="shared" ca="1" si="8"/>
        <v>76140</v>
      </c>
      <c r="M48">
        <v>2</v>
      </c>
      <c r="N48">
        <f t="shared" si="9"/>
        <v>1.1037603600000001</v>
      </c>
      <c r="O48" s="28">
        <f t="shared" si="4"/>
        <v>897942.85000222328</v>
      </c>
      <c r="P48" s="28">
        <f t="shared" si="5"/>
        <v>868360.46000222326</v>
      </c>
      <c r="Q48" s="30">
        <f t="shared" si="6"/>
        <v>868360.46000222326</v>
      </c>
      <c r="R48" s="2">
        <f t="shared" si="7"/>
        <v>1</v>
      </c>
      <c r="S48">
        <f t="shared" si="10"/>
        <v>2020</v>
      </c>
    </row>
    <row r="49" spans="1:19" x14ac:dyDescent="0.2">
      <c r="A49" t="s">
        <v>94</v>
      </c>
      <c r="B49" s="1">
        <v>43560</v>
      </c>
      <c r="C49" t="s">
        <v>32</v>
      </c>
      <c r="D49" s="3">
        <v>239582.74</v>
      </c>
      <c r="E49" t="s">
        <v>11</v>
      </c>
      <c r="F49" s="27">
        <f t="shared" si="3"/>
        <v>260976.97</v>
      </c>
      <c r="G49" s="83">
        <v>1000000</v>
      </c>
      <c r="H49" s="3">
        <v>21394.23</v>
      </c>
      <c r="I49" t="s">
        <v>12</v>
      </c>
      <c r="J49" t="s">
        <v>13</v>
      </c>
      <c r="K49" t="s">
        <v>24</v>
      </c>
      <c r="L49">
        <f t="shared" ca="1" si="8"/>
        <v>19831</v>
      </c>
      <c r="M49">
        <v>7</v>
      </c>
      <c r="N49">
        <f t="shared" si="9"/>
        <v>1.1479107743999999</v>
      </c>
      <c r="O49" s="28">
        <f t="shared" si="4"/>
        <v>299578.27573326556</v>
      </c>
      <c r="P49" s="28">
        <f t="shared" si="5"/>
        <v>278184.04573326558</v>
      </c>
      <c r="Q49" s="30">
        <f t="shared" si="6"/>
        <v>278184.04573326558</v>
      </c>
      <c r="R49" s="2">
        <f t="shared" si="7"/>
        <v>1</v>
      </c>
      <c r="S49">
        <f t="shared" si="10"/>
        <v>2019</v>
      </c>
    </row>
    <row r="50" spans="1:19" x14ac:dyDescent="0.2">
      <c r="A50" t="s">
        <v>95</v>
      </c>
      <c r="B50" s="1">
        <v>44916</v>
      </c>
      <c r="C50" t="s">
        <v>10</v>
      </c>
      <c r="D50" s="3">
        <v>294738.48</v>
      </c>
      <c r="E50" t="s">
        <v>11</v>
      </c>
      <c r="F50" s="27">
        <f t="shared" si="3"/>
        <v>313686.01</v>
      </c>
      <c r="G50" s="83">
        <v>2000000</v>
      </c>
      <c r="H50" s="3">
        <v>18947.53</v>
      </c>
      <c r="I50" t="s">
        <v>17</v>
      </c>
      <c r="J50" t="s">
        <v>38</v>
      </c>
      <c r="K50" t="s">
        <v>43</v>
      </c>
      <c r="L50">
        <f t="shared" ca="1" si="8"/>
        <v>68863</v>
      </c>
      <c r="M50">
        <v>4</v>
      </c>
      <c r="N50">
        <f t="shared" si="9"/>
        <v>1.0506</v>
      </c>
      <c r="O50" s="28">
        <f t="shared" si="4"/>
        <v>329558.52210599999</v>
      </c>
      <c r="P50" s="28">
        <f t="shared" si="5"/>
        <v>310610.99210599996</v>
      </c>
      <c r="Q50" s="30">
        <f t="shared" si="6"/>
        <v>310610.99210599996</v>
      </c>
      <c r="R50" s="2">
        <f t="shared" si="7"/>
        <v>1</v>
      </c>
      <c r="S50">
        <f t="shared" si="10"/>
        <v>2022</v>
      </c>
    </row>
    <row r="51" spans="1:19" x14ac:dyDescent="0.2">
      <c r="A51" t="s">
        <v>96</v>
      </c>
      <c r="B51" s="1">
        <v>44230</v>
      </c>
      <c r="C51" t="s">
        <v>21</v>
      </c>
      <c r="D51" s="3">
        <v>583948.29</v>
      </c>
      <c r="E51" t="s">
        <v>11</v>
      </c>
      <c r="F51" s="27">
        <f t="shared" si="3"/>
        <v>613232.67000000004</v>
      </c>
      <c r="G51" s="83">
        <v>5000000</v>
      </c>
      <c r="H51" s="3">
        <v>29284.38</v>
      </c>
      <c r="I51" t="s">
        <v>22</v>
      </c>
      <c r="J51" t="s">
        <v>29</v>
      </c>
      <c r="K51" t="s">
        <v>51</v>
      </c>
      <c r="L51">
        <f t="shared" ca="1" si="8"/>
        <v>64246</v>
      </c>
      <c r="M51">
        <v>9</v>
      </c>
      <c r="N51">
        <f t="shared" si="9"/>
        <v>1.071612</v>
      </c>
      <c r="O51" s="28">
        <f t="shared" si="4"/>
        <v>657147.48796404002</v>
      </c>
      <c r="P51" s="28">
        <f t="shared" si="5"/>
        <v>627863.10796404001</v>
      </c>
      <c r="Q51" s="30">
        <f t="shared" si="6"/>
        <v>627863.10796404001</v>
      </c>
      <c r="R51" s="2">
        <f t="shared" si="7"/>
        <v>1</v>
      </c>
      <c r="S51">
        <f t="shared" si="10"/>
        <v>2021</v>
      </c>
    </row>
    <row r="52" spans="1:19" x14ac:dyDescent="0.2">
      <c r="A52" t="s">
        <v>97</v>
      </c>
      <c r="B52" s="1">
        <v>43902</v>
      </c>
      <c r="C52" t="s">
        <v>26</v>
      </c>
      <c r="D52" s="3">
        <v>784839.21</v>
      </c>
      <c r="E52" t="s">
        <v>27</v>
      </c>
      <c r="F52" s="27">
        <f t="shared" si="3"/>
        <v>823786.49</v>
      </c>
      <c r="G52" s="83">
        <v>5000000</v>
      </c>
      <c r="H52" s="3">
        <v>38947.279999999999</v>
      </c>
      <c r="I52" t="s">
        <v>28</v>
      </c>
      <c r="J52" t="s">
        <v>18</v>
      </c>
      <c r="K52" t="s">
        <v>41</v>
      </c>
      <c r="L52">
        <f t="shared" ca="1" si="8"/>
        <v>91425</v>
      </c>
      <c r="M52">
        <v>3</v>
      </c>
      <c r="N52">
        <f t="shared" si="9"/>
        <v>1.1037603600000001</v>
      </c>
      <c r="O52" s="28">
        <f t="shared" si="4"/>
        <v>909262.87276553642</v>
      </c>
      <c r="P52" s="28">
        <f t="shared" si="5"/>
        <v>870315.59276553639</v>
      </c>
      <c r="Q52" s="30">
        <f t="shared" si="6"/>
        <v>870315.59276553639</v>
      </c>
      <c r="R52" s="2">
        <f t="shared" si="7"/>
        <v>1</v>
      </c>
      <c r="S52">
        <f t="shared" si="10"/>
        <v>2020</v>
      </c>
    </row>
    <row r="53" spans="1:19" x14ac:dyDescent="0.2">
      <c r="A53" t="s">
        <v>98</v>
      </c>
      <c r="B53" s="1">
        <v>45115</v>
      </c>
      <c r="C53" t="s">
        <v>16</v>
      </c>
      <c r="D53" s="3">
        <v>398483.65</v>
      </c>
      <c r="E53" t="s">
        <v>11</v>
      </c>
      <c r="F53" s="27">
        <f t="shared" si="3"/>
        <v>427431.03</v>
      </c>
      <c r="G53" s="83">
        <v>2000000</v>
      </c>
      <c r="H53" s="3">
        <v>28947.38</v>
      </c>
      <c r="I53" t="s">
        <v>17</v>
      </c>
      <c r="J53" t="s">
        <v>23</v>
      </c>
      <c r="K53" t="s">
        <v>39</v>
      </c>
      <c r="L53">
        <f t="shared" ca="1" si="8"/>
        <v>23127</v>
      </c>
      <c r="M53">
        <v>6</v>
      </c>
      <c r="N53">
        <f t="shared" si="9"/>
        <v>1.03</v>
      </c>
      <c r="O53" s="28">
        <f t="shared" si="4"/>
        <v>440253.96090000006</v>
      </c>
      <c r="P53" s="28">
        <f t="shared" si="5"/>
        <v>411306.58090000006</v>
      </c>
      <c r="Q53" s="30">
        <f t="shared" si="6"/>
        <v>411306.58090000006</v>
      </c>
      <c r="R53" s="2">
        <f t="shared" si="7"/>
        <v>1</v>
      </c>
      <c r="S53">
        <f t="shared" si="10"/>
        <v>2023</v>
      </c>
    </row>
    <row r="54" spans="1:19" x14ac:dyDescent="0.2">
      <c r="A54" t="s">
        <v>99</v>
      </c>
      <c r="B54" s="1">
        <v>43366</v>
      </c>
      <c r="C54" t="s">
        <v>32</v>
      </c>
      <c r="D54" s="3">
        <v>485739.23</v>
      </c>
      <c r="E54" t="s">
        <v>11</v>
      </c>
      <c r="F54" s="27">
        <f t="shared" si="3"/>
        <v>503135.07</v>
      </c>
      <c r="G54" s="83">
        <v>5000000</v>
      </c>
      <c r="H54" s="3">
        <v>17395.84</v>
      </c>
      <c r="I54" t="s">
        <v>12</v>
      </c>
      <c r="J54" t="s">
        <v>38</v>
      </c>
      <c r="K54" t="s">
        <v>30</v>
      </c>
      <c r="L54">
        <f t="shared" ca="1" si="8"/>
        <v>50551</v>
      </c>
      <c r="M54">
        <v>8</v>
      </c>
      <c r="N54">
        <f t="shared" si="9"/>
        <v>1.2053063131199999</v>
      </c>
      <c r="O54" s="28">
        <f t="shared" si="4"/>
        <v>606431.87622307311</v>
      </c>
      <c r="P54" s="28">
        <f t="shared" si="5"/>
        <v>589036.03622307314</v>
      </c>
      <c r="Q54" s="30">
        <f t="shared" si="6"/>
        <v>589036.03622307314</v>
      </c>
      <c r="R54" s="2">
        <f t="shared" si="7"/>
        <v>1</v>
      </c>
      <c r="S54">
        <f t="shared" si="10"/>
        <v>2018</v>
      </c>
    </row>
    <row r="55" spans="1:19" x14ac:dyDescent="0.2">
      <c r="A55" t="s">
        <v>100</v>
      </c>
      <c r="B55" s="1">
        <v>43784</v>
      </c>
      <c r="C55" t="s">
        <v>10</v>
      </c>
      <c r="D55" s="3">
        <v>593849.48</v>
      </c>
      <c r="E55" t="s">
        <v>27</v>
      </c>
      <c r="F55" s="27">
        <f t="shared" si="3"/>
        <v>632797.05999999994</v>
      </c>
      <c r="G55" s="83">
        <v>5000000</v>
      </c>
      <c r="H55" s="3">
        <v>38947.58</v>
      </c>
      <c r="I55" t="s">
        <v>17</v>
      </c>
      <c r="J55" t="s">
        <v>13</v>
      </c>
      <c r="K55" t="s">
        <v>19</v>
      </c>
      <c r="L55">
        <f t="shared" ca="1" si="8"/>
        <v>31482</v>
      </c>
      <c r="M55">
        <v>2</v>
      </c>
      <c r="N55">
        <f t="shared" si="9"/>
        <v>1.1479107743999999</v>
      </c>
      <c r="O55" s="28">
        <f t="shared" si="4"/>
        <v>726394.56318264315</v>
      </c>
      <c r="P55" s="28">
        <f t="shared" si="5"/>
        <v>687446.98318264319</v>
      </c>
      <c r="Q55" s="30">
        <f t="shared" si="6"/>
        <v>687446.98318264319</v>
      </c>
      <c r="R55" s="2">
        <f t="shared" si="7"/>
        <v>1</v>
      </c>
      <c r="S55">
        <f t="shared" si="10"/>
        <v>2019</v>
      </c>
    </row>
    <row r="56" spans="1:19" x14ac:dyDescent="0.2">
      <c r="A56" t="s">
        <v>101</v>
      </c>
      <c r="B56" s="1">
        <v>44785</v>
      </c>
      <c r="C56" t="s">
        <v>21</v>
      </c>
      <c r="D56" s="3">
        <v>683849.75</v>
      </c>
      <c r="E56" t="s">
        <v>11</v>
      </c>
      <c r="F56" s="27">
        <f t="shared" si="3"/>
        <v>716797.2</v>
      </c>
      <c r="G56" s="83">
        <v>5000000</v>
      </c>
      <c r="H56" s="3">
        <v>32947.449999999997</v>
      </c>
      <c r="I56" t="s">
        <v>22</v>
      </c>
      <c r="J56" t="s">
        <v>29</v>
      </c>
      <c r="K56" t="s">
        <v>47</v>
      </c>
      <c r="L56">
        <f t="shared" ca="1" si="8"/>
        <v>74419</v>
      </c>
      <c r="M56">
        <v>3</v>
      </c>
      <c r="N56">
        <f t="shared" si="9"/>
        <v>1.0506</v>
      </c>
      <c r="O56" s="28">
        <f t="shared" si="4"/>
        <v>753067.13831999991</v>
      </c>
      <c r="P56" s="28">
        <f t="shared" si="5"/>
        <v>720119.68831999996</v>
      </c>
      <c r="Q56" s="30">
        <f t="shared" si="6"/>
        <v>720119.68831999996</v>
      </c>
      <c r="R56" s="2">
        <f t="shared" si="7"/>
        <v>1</v>
      </c>
      <c r="S56">
        <f t="shared" si="10"/>
        <v>2022</v>
      </c>
    </row>
    <row r="57" spans="1:19" x14ac:dyDescent="0.2">
      <c r="A57" t="s">
        <v>102</v>
      </c>
      <c r="B57" s="1">
        <v>44339</v>
      </c>
      <c r="C57" t="s">
        <v>26</v>
      </c>
      <c r="D57" s="3">
        <v>792483.56</v>
      </c>
      <c r="E57" t="s">
        <v>27</v>
      </c>
      <c r="F57" s="27">
        <f t="shared" si="3"/>
        <v>827431.81</v>
      </c>
      <c r="G57" s="83">
        <v>5000000</v>
      </c>
      <c r="H57" s="3">
        <v>34948.25</v>
      </c>
      <c r="I57" t="s">
        <v>28</v>
      </c>
      <c r="J57" t="s">
        <v>18</v>
      </c>
      <c r="K57" t="s">
        <v>43</v>
      </c>
      <c r="L57">
        <f t="shared" ca="1" si="8"/>
        <v>72395</v>
      </c>
      <c r="M57">
        <v>7</v>
      </c>
      <c r="N57">
        <f t="shared" si="9"/>
        <v>1.071612</v>
      </c>
      <c r="O57" s="28">
        <f t="shared" si="4"/>
        <v>886685.85677772004</v>
      </c>
      <c r="P57" s="28">
        <f t="shared" si="5"/>
        <v>851737.60677772004</v>
      </c>
      <c r="Q57" s="30">
        <f t="shared" si="6"/>
        <v>851737.60677772004</v>
      </c>
      <c r="R57" s="2">
        <f t="shared" si="7"/>
        <v>1</v>
      </c>
      <c r="S57">
        <f t="shared" si="10"/>
        <v>2021</v>
      </c>
    </row>
    <row r="58" spans="1:19" x14ac:dyDescent="0.2">
      <c r="A58" t="s">
        <v>103</v>
      </c>
      <c r="B58" s="1">
        <v>44121</v>
      </c>
      <c r="C58" t="s">
        <v>16</v>
      </c>
      <c r="D58" s="3">
        <v>594837.93999999994</v>
      </c>
      <c r="E58" t="s">
        <v>11</v>
      </c>
      <c r="F58" s="27">
        <f t="shared" si="3"/>
        <v>623785.5</v>
      </c>
      <c r="G58" s="83">
        <v>5000000</v>
      </c>
      <c r="H58" s="3">
        <v>28947.56</v>
      </c>
      <c r="I58" t="s">
        <v>17</v>
      </c>
      <c r="J58" t="s">
        <v>23</v>
      </c>
      <c r="K58" t="s">
        <v>45</v>
      </c>
      <c r="L58">
        <f t="shared" ca="1" si="8"/>
        <v>15094</v>
      </c>
      <c r="M58">
        <v>4</v>
      </c>
      <c r="N58">
        <f t="shared" si="9"/>
        <v>1.1037603600000001</v>
      </c>
      <c r="O58" s="28">
        <f t="shared" si="4"/>
        <v>688509.70804278005</v>
      </c>
      <c r="P58" s="28">
        <f t="shared" si="5"/>
        <v>659562.14804278</v>
      </c>
      <c r="Q58" s="30">
        <f t="shared" si="6"/>
        <v>659562.14804278</v>
      </c>
      <c r="R58" s="2">
        <f t="shared" si="7"/>
        <v>1</v>
      </c>
      <c r="S58">
        <f t="shared" si="10"/>
        <v>2020</v>
      </c>
    </row>
    <row r="59" spans="1:19" x14ac:dyDescent="0.2">
      <c r="A59" t="s">
        <v>104</v>
      </c>
      <c r="B59" s="1">
        <v>44998</v>
      </c>
      <c r="C59" t="s">
        <v>32</v>
      </c>
      <c r="D59" s="3">
        <v>472839.28</v>
      </c>
      <c r="E59" t="s">
        <v>11</v>
      </c>
      <c r="F59" s="27">
        <f t="shared" si="3"/>
        <v>494777.76</v>
      </c>
      <c r="G59" s="83">
        <v>5000000</v>
      </c>
      <c r="H59" s="3">
        <v>21938.48</v>
      </c>
      <c r="I59" t="s">
        <v>12</v>
      </c>
      <c r="J59" t="s">
        <v>38</v>
      </c>
      <c r="K59" t="s">
        <v>36</v>
      </c>
      <c r="L59">
        <f t="shared" ca="1" si="8"/>
        <v>46118</v>
      </c>
      <c r="M59">
        <v>6</v>
      </c>
      <c r="N59">
        <f t="shared" si="9"/>
        <v>1.03</v>
      </c>
      <c r="O59" s="28">
        <f t="shared" si="4"/>
        <v>509621.09280000004</v>
      </c>
      <c r="P59" s="28">
        <f t="shared" si="5"/>
        <v>487682.61280000006</v>
      </c>
      <c r="Q59" s="30">
        <f t="shared" si="6"/>
        <v>487682.61280000006</v>
      </c>
      <c r="R59" s="2">
        <f t="shared" si="7"/>
        <v>1</v>
      </c>
      <c r="S59">
        <f t="shared" si="10"/>
        <v>2023</v>
      </c>
    </row>
    <row r="60" spans="1:19" x14ac:dyDescent="0.2">
      <c r="A60" t="s">
        <v>105</v>
      </c>
      <c r="B60" s="1">
        <v>43439</v>
      </c>
      <c r="C60" t="s">
        <v>10</v>
      </c>
      <c r="D60" s="3">
        <v>592483.44999999995</v>
      </c>
      <c r="E60" t="s">
        <v>27</v>
      </c>
      <c r="F60" s="27">
        <f t="shared" si="3"/>
        <v>625430.82999999996</v>
      </c>
      <c r="G60" s="83">
        <v>2000000</v>
      </c>
      <c r="H60" s="3">
        <v>32947.379999999997</v>
      </c>
      <c r="I60" t="s">
        <v>17</v>
      </c>
      <c r="J60" t="s">
        <v>18</v>
      </c>
      <c r="K60" t="s">
        <v>14</v>
      </c>
      <c r="L60">
        <f t="shared" ca="1" si="8"/>
        <v>96458</v>
      </c>
      <c r="M60">
        <v>5</v>
      </c>
      <c r="N60">
        <f t="shared" si="9"/>
        <v>1.2053063131199999</v>
      </c>
      <c r="O60" s="28">
        <f t="shared" si="4"/>
        <v>753835.72781888139</v>
      </c>
      <c r="P60" s="28">
        <f t="shared" si="5"/>
        <v>720888.34781888139</v>
      </c>
      <c r="Q60" s="30">
        <f t="shared" si="6"/>
        <v>720888.34781888139</v>
      </c>
      <c r="R60" s="2">
        <f t="shared" si="7"/>
        <v>1</v>
      </c>
      <c r="S60">
        <f t="shared" si="10"/>
        <v>2018</v>
      </c>
    </row>
    <row r="61" spans="1:19" x14ac:dyDescent="0.2">
      <c r="A61" t="s">
        <v>106</v>
      </c>
      <c r="B61" s="1">
        <v>43645</v>
      </c>
      <c r="C61" t="s">
        <v>21</v>
      </c>
      <c r="D61" s="3">
        <v>839483.29</v>
      </c>
      <c r="E61" t="s">
        <v>11</v>
      </c>
      <c r="F61" s="27">
        <f t="shared" si="3"/>
        <v>877431.67</v>
      </c>
      <c r="G61" s="83">
        <v>5000000</v>
      </c>
      <c r="H61" s="3">
        <v>37948.379999999997</v>
      </c>
      <c r="I61" t="s">
        <v>22</v>
      </c>
      <c r="J61" t="s">
        <v>29</v>
      </c>
      <c r="K61" t="s">
        <v>49</v>
      </c>
      <c r="L61">
        <f t="shared" ca="1" si="8"/>
        <v>58008</v>
      </c>
      <c r="M61">
        <v>3</v>
      </c>
      <c r="N61">
        <f t="shared" si="9"/>
        <v>1.1479107743999999</v>
      </c>
      <c r="O61" s="28">
        <f t="shared" si="4"/>
        <v>1007213.2677927852</v>
      </c>
      <c r="P61" s="28">
        <f t="shared" si="5"/>
        <v>969264.88779278519</v>
      </c>
      <c r="Q61" s="30">
        <f t="shared" si="6"/>
        <v>969264.88779278519</v>
      </c>
      <c r="R61" s="2">
        <f t="shared" si="7"/>
        <v>1</v>
      </c>
      <c r="S61">
        <f t="shared" si="10"/>
        <v>2019</v>
      </c>
    </row>
    <row r="62" spans="1:19" x14ac:dyDescent="0.2">
      <c r="A62" t="s">
        <v>107</v>
      </c>
      <c r="B62" s="1">
        <v>44821</v>
      </c>
      <c r="C62" t="s">
        <v>26</v>
      </c>
      <c r="D62" s="3">
        <v>839483.58</v>
      </c>
      <c r="E62" t="s">
        <v>27</v>
      </c>
      <c r="F62" s="27">
        <f t="shared" si="3"/>
        <v>878431.02999999991</v>
      </c>
      <c r="G62" s="83">
        <v>5000000</v>
      </c>
      <c r="H62" s="3">
        <v>38947.449999999997</v>
      </c>
      <c r="I62" t="s">
        <v>28</v>
      </c>
      <c r="J62" t="s">
        <v>38</v>
      </c>
      <c r="K62" t="s">
        <v>39</v>
      </c>
      <c r="L62">
        <f t="shared" ca="1" si="8"/>
        <v>79837</v>
      </c>
      <c r="M62">
        <v>4</v>
      </c>
      <c r="N62">
        <f t="shared" si="9"/>
        <v>1.0506</v>
      </c>
      <c r="O62" s="28">
        <f t="shared" si="4"/>
        <v>922879.64011799986</v>
      </c>
      <c r="P62" s="28">
        <f t="shared" si="5"/>
        <v>883932.19011799991</v>
      </c>
      <c r="Q62" s="30">
        <f t="shared" si="6"/>
        <v>883932.19011799991</v>
      </c>
      <c r="R62" s="2">
        <f t="shared" si="7"/>
        <v>1</v>
      </c>
      <c r="S62">
        <f t="shared" si="10"/>
        <v>2022</v>
      </c>
    </row>
    <row r="63" spans="1:19" x14ac:dyDescent="0.2">
      <c r="A63" t="s">
        <v>108</v>
      </c>
      <c r="B63" s="1">
        <v>44207</v>
      </c>
      <c r="C63" t="s">
        <v>16</v>
      </c>
      <c r="D63" s="3">
        <v>793849.23</v>
      </c>
      <c r="E63" t="s">
        <v>11</v>
      </c>
      <c r="F63" s="27">
        <f t="shared" si="3"/>
        <v>823331.71</v>
      </c>
      <c r="G63" s="83">
        <v>5000000</v>
      </c>
      <c r="H63" s="3">
        <v>29482.48</v>
      </c>
      <c r="I63" t="s">
        <v>17</v>
      </c>
      <c r="J63" t="s">
        <v>23</v>
      </c>
      <c r="K63" t="s">
        <v>51</v>
      </c>
      <c r="L63">
        <f t="shared" ca="1" si="8"/>
        <v>66231</v>
      </c>
      <c r="M63">
        <v>7</v>
      </c>
      <c r="N63">
        <f t="shared" si="9"/>
        <v>1.071612</v>
      </c>
      <c r="O63" s="28">
        <f t="shared" si="4"/>
        <v>882292.14041651995</v>
      </c>
      <c r="P63" s="28">
        <f t="shared" si="5"/>
        <v>852809.66041651997</v>
      </c>
      <c r="Q63" s="30">
        <f t="shared" si="6"/>
        <v>852809.66041651997</v>
      </c>
      <c r="R63" s="2">
        <f t="shared" si="7"/>
        <v>1</v>
      </c>
      <c r="S63">
        <f t="shared" si="10"/>
        <v>2021</v>
      </c>
    </row>
    <row r="64" spans="1:19" x14ac:dyDescent="0.2">
      <c r="A64" t="s">
        <v>109</v>
      </c>
      <c r="B64" s="1">
        <v>43946</v>
      </c>
      <c r="C64" t="s">
        <v>32</v>
      </c>
      <c r="D64" s="3">
        <v>473839.25</v>
      </c>
      <c r="E64" t="s">
        <v>11</v>
      </c>
      <c r="F64" s="27">
        <f t="shared" si="3"/>
        <v>501321.63</v>
      </c>
      <c r="G64" s="83">
        <v>5000000</v>
      </c>
      <c r="H64" s="3">
        <v>27482.38</v>
      </c>
      <c r="I64" t="s">
        <v>12</v>
      </c>
      <c r="J64" t="s">
        <v>29</v>
      </c>
      <c r="K64" t="s">
        <v>59</v>
      </c>
      <c r="L64">
        <f t="shared" ca="1" si="8"/>
        <v>12433</v>
      </c>
      <c r="M64">
        <v>6</v>
      </c>
      <c r="N64">
        <f t="shared" si="9"/>
        <v>1.1037603600000001</v>
      </c>
      <c r="O64" s="28">
        <f t="shared" si="4"/>
        <v>553338.94280458684</v>
      </c>
      <c r="P64" s="28">
        <f t="shared" si="5"/>
        <v>525856.56280458684</v>
      </c>
      <c r="Q64" s="30">
        <f t="shared" si="6"/>
        <v>525856.56280458684</v>
      </c>
      <c r="R64" s="2">
        <f t="shared" si="7"/>
        <v>1</v>
      </c>
      <c r="S64">
        <f t="shared" si="10"/>
        <v>2020</v>
      </c>
    </row>
    <row r="65" spans="1:19" x14ac:dyDescent="0.2">
      <c r="A65" t="s">
        <v>110</v>
      </c>
      <c r="B65" s="1">
        <v>43543</v>
      </c>
      <c r="C65" t="s">
        <v>10</v>
      </c>
      <c r="D65" s="3">
        <v>573849.48</v>
      </c>
      <c r="E65" t="s">
        <v>27</v>
      </c>
      <c r="F65" s="27">
        <f t="shared" si="3"/>
        <v>606697.05999999994</v>
      </c>
      <c r="G65" s="83">
        <v>5000000</v>
      </c>
      <c r="H65" s="3">
        <v>32847.58</v>
      </c>
      <c r="I65" t="s">
        <v>17</v>
      </c>
      <c r="J65" t="s">
        <v>13</v>
      </c>
      <c r="K65" t="s">
        <v>43</v>
      </c>
      <c r="L65">
        <f t="shared" ca="1" si="8"/>
        <v>71609</v>
      </c>
      <c r="M65">
        <v>3</v>
      </c>
      <c r="N65">
        <f t="shared" si="9"/>
        <v>1.1479107743999999</v>
      </c>
      <c r="O65" s="28">
        <f t="shared" si="4"/>
        <v>696434.0919708031</v>
      </c>
      <c r="P65" s="28">
        <f t="shared" si="5"/>
        <v>663586.51197080314</v>
      </c>
      <c r="Q65" s="30">
        <f t="shared" si="6"/>
        <v>663586.51197080314</v>
      </c>
      <c r="R65" s="2">
        <f t="shared" si="7"/>
        <v>1</v>
      </c>
      <c r="S65">
        <f t="shared" si="10"/>
        <v>2019</v>
      </c>
    </row>
    <row r="66" spans="1:19" x14ac:dyDescent="0.2">
      <c r="A66" t="s">
        <v>111</v>
      </c>
      <c r="B66" s="1">
        <v>44959</v>
      </c>
      <c r="C66" t="s">
        <v>21</v>
      </c>
      <c r="D66" s="3">
        <v>683849.75</v>
      </c>
      <c r="E66" t="s">
        <v>11</v>
      </c>
      <c r="F66" s="27">
        <f t="shared" si="3"/>
        <v>716797.2</v>
      </c>
      <c r="G66" s="83">
        <v>5000000</v>
      </c>
      <c r="H66" s="3">
        <v>32947.449999999997</v>
      </c>
      <c r="I66" t="s">
        <v>22</v>
      </c>
      <c r="J66" t="s">
        <v>18</v>
      </c>
      <c r="K66" t="s">
        <v>57</v>
      </c>
      <c r="L66">
        <f t="shared" ref="L66:L101" ca="1" si="11">IF(C66="Cargo Liability",RANDBETWEEN(10000,80000),IF(C66="Collision Liability",RANDBETWEEN(20000,100000),IF(C66="Environmental Pollution",RANDBETWEEN(50000,120000),IF(C66="Damage to Other Vessels",RANDBETWEEN(15000,90000),IF(C66="Injury to Third Parties",RANDBETWEEN(5000,60000))))))</f>
        <v>33734</v>
      </c>
      <c r="M66">
        <v>2</v>
      </c>
      <c r="N66">
        <f t="shared" ref="N66:N101" si="12">IF(YEAR(B66)=2023, 1.03,
   IF(YEAR(B66)=2022, 1.0506,
   IF(YEAR(B66)=2021, 1.071612,
   IF(YEAR(B66)=2020, 1.10376036,
   IF(YEAR(B66)=2019, 1.1479107744,
   IF(YEAR(B66)=2018, 1.20530631312, 1))))))</f>
        <v>1.03</v>
      </c>
      <c r="O66" s="28">
        <f t="shared" si="4"/>
        <v>738301.11599999992</v>
      </c>
      <c r="P66" s="28">
        <f t="shared" si="5"/>
        <v>705353.66599999997</v>
      </c>
      <c r="Q66" s="30">
        <f t="shared" si="6"/>
        <v>705353.66599999997</v>
      </c>
      <c r="R66" s="2">
        <f t="shared" si="7"/>
        <v>1</v>
      </c>
      <c r="S66">
        <f t="shared" si="10"/>
        <v>2023</v>
      </c>
    </row>
    <row r="67" spans="1:19" x14ac:dyDescent="0.2">
      <c r="A67" t="s">
        <v>112</v>
      </c>
      <c r="B67" s="1">
        <v>44753</v>
      </c>
      <c r="C67" t="s">
        <v>26</v>
      </c>
      <c r="D67" s="3">
        <v>683849.45</v>
      </c>
      <c r="E67" t="s">
        <v>27</v>
      </c>
      <c r="F67" s="27">
        <f t="shared" ref="F67:F101" si="13">D67+H67</f>
        <v>713331.89999999991</v>
      </c>
      <c r="G67" s="83">
        <v>5000000</v>
      </c>
      <c r="H67" s="3">
        <v>29482.45</v>
      </c>
      <c r="I67" t="s">
        <v>28</v>
      </c>
      <c r="J67" t="s">
        <v>23</v>
      </c>
      <c r="K67" t="s">
        <v>47</v>
      </c>
      <c r="L67">
        <f t="shared" ca="1" si="11"/>
        <v>105776</v>
      </c>
      <c r="M67">
        <v>4</v>
      </c>
      <c r="N67">
        <f t="shared" si="12"/>
        <v>1.0506</v>
      </c>
      <c r="O67" s="28">
        <f t="shared" ref="O67:O101" si="14">F67*N67</f>
        <v>749426.49413999985</v>
      </c>
      <c r="P67" s="28">
        <f t="shared" ref="P67:P101" si="15">O67 - H67</f>
        <v>719944.0441399999</v>
      </c>
      <c r="Q67" s="30">
        <f t="shared" ref="Q67:Q101" si="16">MIN(P67,G67)</f>
        <v>719944.0441399999</v>
      </c>
      <c r="R67" s="2">
        <f t="shared" ref="R67:R101" si="17">IF(Q67&lt;1000000,1,0)</f>
        <v>1</v>
      </c>
      <c r="S67">
        <f t="shared" ref="S67:S101" si="18">YEAR(B67)</f>
        <v>2022</v>
      </c>
    </row>
    <row r="68" spans="1:19" x14ac:dyDescent="0.2">
      <c r="A68" t="s">
        <v>113</v>
      </c>
      <c r="B68" s="1">
        <v>44369</v>
      </c>
      <c r="C68" t="s">
        <v>16</v>
      </c>
      <c r="D68" s="3">
        <v>573839.54</v>
      </c>
      <c r="E68" t="s">
        <v>11</v>
      </c>
      <c r="F68" s="27">
        <f t="shared" si="13"/>
        <v>601678.92000000004</v>
      </c>
      <c r="G68" s="83">
        <v>5000000</v>
      </c>
      <c r="H68" s="3">
        <v>27839.38</v>
      </c>
      <c r="I68" t="s">
        <v>17</v>
      </c>
      <c r="J68" t="s">
        <v>38</v>
      </c>
      <c r="K68" t="s">
        <v>55</v>
      </c>
      <c r="L68">
        <f t="shared" ca="1" si="11"/>
        <v>64883</v>
      </c>
      <c r="M68">
        <v>5</v>
      </c>
      <c r="N68">
        <f t="shared" si="12"/>
        <v>1.071612</v>
      </c>
      <c r="O68" s="28">
        <f t="shared" si="14"/>
        <v>644766.35081904009</v>
      </c>
      <c r="P68" s="28">
        <f t="shared" si="15"/>
        <v>616926.97081904009</v>
      </c>
      <c r="Q68" s="30">
        <f t="shared" si="16"/>
        <v>616926.97081904009</v>
      </c>
      <c r="R68" s="2">
        <f t="shared" si="17"/>
        <v>1</v>
      </c>
      <c r="S68">
        <f t="shared" si="18"/>
        <v>2021</v>
      </c>
    </row>
    <row r="69" spans="1:19" x14ac:dyDescent="0.2">
      <c r="A69" t="s">
        <v>114</v>
      </c>
      <c r="B69" s="1">
        <v>43857</v>
      </c>
      <c r="C69" t="s">
        <v>32</v>
      </c>
      <c r="D69" s="3">
        <v>572839.44999999995</v>
      </c>
      <c r="E69" t="s">
        <v>11</v>
      </c>
      <c r="F69" s="27">
        <f t="shared" si="13"/>
        <v>605786.89999999991</v>
      </c>
      <c r="G69" s="83">
        <v>5000000</v>
      </c>
      <c r="H69" s="3">
        <v>32947.449999999997</v>
      </c>
      <c r="I69" t="s">
        <v>12</v>
      </c>
      <c r="J69" t="s">
        <v>29</v>
      </c>
      <c r="K69" t="s">
        <v>49</v>
      </c>
      <c r="L69">
        <f t="shared" ca="1" si="11"/>
        <v>54824</v>
      </c>
      <c r="M69">
        <v>3</v>
      </c>
      <c r="N69">
        <f t="shared" si="12"/>
        <v>1.1037603600000001</v>
      </c>
      <c r="O69" s="28">
        <f t="shared" si="14"/>
        <v>668643.56682728394</v>
      </c>
      <c r="P69" s="28">
        <f t="shared" si="15"/>
        <v>635696.11682728399</v>
      </c>
      <c r="Q69" s="30">
        <f t="shared" si="16"/>
        <v>635696.11682728399</v>
      </c>
      <c r="R69" s="2">
        <f t="shared" si="17"/>
        <v>1</v>
      </c>
      <c r="S69">
        <f t="shared" si="18"/>
        <v>2020</v>
      </c>
    </row>
    <row r="70" spans="1:19" x14ac:dyDescent="0.2">
      <c r="A70" t="s">
        <v>115</v>
      </c>
      <c r="B70" s="1">
        <v>43593</v>
      </c>
      <c r="C70" t="s">
        <v>32</v>
      </c>
      <c r="D70" s="3">
        <v>472839.38</v>
      </c>
      <c r="E70" t="s">
        <v>27</v>
      </c>
      <c r="F70" s="27">
        <f t="shared" si="13"/>
        <v>502313.22000000003</v>
      </c>
      <c r="G70" s="83">
        <v>2000000</v>
      </c>
      <c r="H70" s="3">
        <v>29473.84</v>
      </c>
      <c r="I70" t="s">
        <v>17</v>
      </c>
      <c r="J70" t="s">
        <v>23</v>
      </c>
      <c r="K70" t="s">
        <v>65</v>
      </c>
      <c r="L70">
        <f t="shared" ca="1" si="11"/>
        <v>53498</v>
      </c>
      <c r="M70">
        <v>4</v>
      </c>
      <c r="N70">
        <f t="shared" si="12"/>
        <v>1.1479107743999999</v>
      </c>
      <c r="O70" s="28">
        <f t="shared" si="14"/>
        <v>576610.75736155757</v>
      </c>
      <c r="P70" s="28">
        <f t="shared" si="15"/>
        <v>547136.9173615576</v>
      </c>
      <c r="Q70" s="30">
        <f t="shared" si="16"/>
        <v>547136.9173615576</v>
      </c>
      <c r="R70" s="2">
        <f t="shared" si="17"/>
        <v>1</v>
      </c>
      <c r="S70">
        <f t="shared" si="18"/>
        <v>2019</v>
      </c>
    </row>
    <row r="71" spans="1:19" x14ac:dyDescent="0.2">
      <c r="A71" t="s">
        <v>116</v>
      </c>
      <c r="B71" s="1">
        <v>45035</v>
      </c>
      <c r="C71" t="s">
        <v>10</v>
      </c>
      <c r="D71" s="3">
        <v>573849.48</v>
      </c>
      <c r="E71" t="s">
        <v>11</v>
      </c>
      <c r="F71" s="27">
        <f t="shared" si="13"/>
        <v>606697.05999999994</v>
      </c>
      <c r="G71" s="83">
        <v>5000000</v>
      </c>
      <c r="H71" s="3">
        <v>32847.58</v>
      </c>
      <c r="I71" t="s">
        <v>17</v>
      </c>
      <c r="J71" t="s">
        <v>38</v>
      </c>
      <c r="K71" t="s">
        <v>47</v>
      </c>
      <c r="L71">
        <f t="shared" ca="1" si="11"/>
        <v>24469</v>
      </c>
      <c r="M71">
        <v>3</v>
      </c>
      <c r="N71">
        <f t="shared" si="12"/>
        <v>1.03</v>
      </c>
      <c r="O71" s="28">
        <f t="shared" si="14"/>
        <v>624897.97179999994</v>
      </c>
      <c r="P71" s="28">
        <f t="shared" si="15"/>
        <v>592050.39179999998</v>
      </c>
      <c r="Q71" s="30">
        <f t="shared" si="16"/>
        <v>592050.39179999998</v>
      </c>
      <c r="R71" s="2">
        <f t="shared" si="17"/>
        <v>1</v>
      </c>
      <c r="S71">
        <f t="shared" si="18"/>
        <v>2023</v>
      </c>
    </row>
    <row r="72" spans="1:19" x14ac:dyDescent="0.2">
      <c r="A72" t="s">
        <v>117</v>
      </c>
      <c r="B72" s="1">
        <v>44481</v>
      </c>
      <c r="C72" t="s">
        <v>21</v>
      </c>
      <c r="D72" s="3">
        <v>683849.75</v>
      </c>
      <c r="E72" t="s">
        <v>11</v>
      </c>
      <c r="F72" s="27">
        <f t="shared" si="13"/>
        <v>721798.13</v>
      </c>
      <c r="G72" s="83">
        <v>5000000</v>
      </c>
      <c r="H72" s="3">
        <v>37948.379999999997</v>
      </c>
      <c r="I72" t="s">
        <v>22</v>
      </c>
      <c r="J72" t="s">
        <v>29</v>
      </c>
      <c r="K72" t="s">
        <v>53</v>
      </c>
      <c r="L72">
        <f t="shared" ca="1" si="11"/>
        <v>58516</v>
      </c>
      <c r="M72">
        <v>5</v>
      </c>
      <c r="N72">
        <f t="shared" si="12"/>
        <v>1.071612</v>
      </c>
      <c r="O72" s="28">
        <f t="shared" si="14"/>
        <v>773487.53768556006</v>
      </c>
      <c r="P72" s="28">
        <f t="shared" si="15"/>
        <v>735539.15768556006</v>
      </c>
      <c r="Q72" s="30">
        <f t="shared" si="16"/>
        <v>735539.15768556006</v>
      </c>
      <c r="R72" s="2">
        <f t="shared" si="17"/>
        <v>1</v>
      </c>
      <c r="S72">
        <f t="shared" si="18"/>
        <v>2021</v>
      </c>
    </row>
    <row r="73" spans="1:19" x14ac:dyDescent="0.2">
      <c r="A73" t="s">
        <v>118</v>
      </c>
      <c r="B73" s="1">
        <v>44648</v>
      </c>
      <c r="C73" t="s">
        <v>26</v>
      </c>
      <c r="D73" s="3">
        <v>739849.45</v>
      </c>
      <c r="E73" t="s">
        <v>27</v>
      </c>
      <c r="F73" s="27">
        <f t="shared" si="13"/>
        <v>778796.89999999991</v>
      </c>
      <c r="G73" s="83">
        <v>5000000</v>
      </c>
      <c r="H73" s="3">
        <v>38947.449999999997</v>
      </c>
      <c r="I73" t="s">
        <v>28</v>
      </c>
      <c r="J73" t="s">
        <v>13</v>
      </c>
      <c r="K73" t="s">
        <v>41</v>
      </c>
      <c r="L73">
        <f t="shared" ca="1" si="11"/>
        <v>109334</v>
      </c>
      <c r="M73">
        <v>3</v>
      </c>
      <c r="N73">
        <f t="shared" si="12"/>
        <v>1.0506</v>
      </c>
      <c r="O73" s="28">
        <f t="shared" si="14"/>
        <v>818204.02313999983</v>
      </c>
      <c r="P73" s="28">
        <f t="shared" si="15"/>
        <v>779256.57313999988</v>
      </c>
      <c r="Q73" s="30">
        <f t="shared" si="16"/>
        <v>779256.57313999988</v>
      </c>
      <c r="R73" s="2">
        <f t="shared" si="17"/>
        <v>1</v>
      </c>
      <c r="S73">
        <f t="shared" si="18"/>
        <v>2022</v>
      </c>
    </row>
    <row r="74" spans="1:19" x14ac:dyDescent="0.2">
      <c r="A74" t="s">
        <v>119</v>
      </c>
      <c r="B74" s="1">
        <v>44047</v>
      </c>
      <c r="C74" t="s">
        <v>16</v>
      </c>
      <c r="D74" s="3">
        <v>573839.54</v>
      </c>
      <c r="E74" t="s">
        <v>11</v>
      </c>
      <c r="F74" s="27">
        <f t="shared" si="13"/>
        <v>601678.92000000004</v>
      </c>
      <c r="G74" s="83">
        <v>5000000</v>
      </c>
      <c r="H74" s="3">
        <v>27839.38</v>
      </c>
      <c r="I74" t="s">
        <v>17</v>
      </c>
      <c r="J74" t="s">
        <v>18</v>
      </c>
      <c r="K74" t="s">
        <v>76</v>
      </c>
      <c r="L74">
        <f t="shared" ca="1" si="11"/>
        <v>24868</v>
      </c>
      <c r="M74">
        <v>6</v>
      </c>
      <c r="N74">
        <f t="shared" si="12"/>
        <v>1.1037603600000001</v>
      </c>
      <c r="O74" s="28">
        <f t="shared" si="14"/>
        <v>664109.34134361136</v>
      </c>
      <c r="P74" s="28">
        <f t="shared" si="15"/>
        <v>636269.96134361136</v>
      </c>
      <c r="Q74" s="30">
        <f t="shared" si="16"/>
        <v>636269.96134361136</v>
      </c>
      <c r="R74" s="2">
        <f t="shared" si="17"/>
        <v>1</v>
      </c>
      <c r="S74">
        <f t="shared" si="18"/>
        <v>2020</v>
      </c>
    </row>
    <row r="75" spans="1:19" x14ac:dyDescent="0.2">
      <c r="A75" t="s">
        <v>120</v>
      </c>
      <c r="B75" s="1">
        <v>43268</v>
      </c>
      <c r="C75" t="s">
        <v>32</v>
      </c>
      <c r="D75" s="3">
        <v>572839.44999999995</v>
      </c>
      <c r="E75" t="s">
        <v>11</v>
      </c>
      <c r="F75" s="27">
        <f t="shared" si="13"/>
        <v>605786.89999999991</v>
      </c>
      <c r="G75" s="83">
        <v>5000000</v>
      </c>
      <c r="H75" s="3">
        <v>32947.449999999997</v>
      </c>
      <c r="I75" t="s">
        <v>12</v>
      </c>
      <c r="J75" t="s">
        <v>38</v>
      </c>
      <c r="K75" t="s">
        <v>14</v>
      </c>
      <c r="L75">
        <f t="shared" ca="1" si="11"/>
        <v>30458</v>
      </c>
      <c r="M75">
        <v>3</v>
      </c>
      <c r="N75">
        <f t="shared" si="12"/>
        <v>1.2053063131199999</v>
      </c>
      <c r="O75" s="28">
        <f t="shared" si="14"/>
        <v>730158.77497539402</v>
      </c>
      <c r="P75" s="28">
        <f t="shared" si="15"/>
        <v>697211.32497539406</v>
      </c>
      <c r="Q75" s="30">
        <f t="shared" si="16"/>
        <v>697211.32497539406</v>
      </c>
      <c r="R75" s="2">
        <f t="shared" si="17"/>
        <v>1</v>
      </c>
      <c r="S75">
        <f t="shared" si="18"/>
        <v>2018</v>
      </c>
    </row>
    <row r="76" spans="1:19" x14ac:dyDescent="0.2">
      <c r="A76" t="s">
        <v>121</v>
      </c>
      <c r="B76" s="1">
        <v>45068</v>
      </c>
      <c r="C76" t="s">
        <v>10</v>
      </c>
      <c r="D76" s="3">
        <v>793849.23</v>
      </c>
      <c r="E76" t="s">
        <v>27</v>
      </c>
      <c r="F76" s="27">
        <f t="shared" si="13"/>
        <v>823331.71</v>
      </c>
      <c r="G76" s="83">
        <v>5000000</v>
      </c>
      <c r="H76" s="3">
        <v>29482.48</v>
      </c>
      <c r="I76" t="s">
        <v>17</v>
      </c>
      <c r="J76" t="s">
        <v>29</v>
      </c>
      <c r="K76" t="s">
        <v>34</v>
      </c>
      <c r="L76">
        <f t="shared" ca="1" si="11"/>
        <v>82532</v>
      </c>
      <c r="M76">
        <v>4</v>
      </c>
      <c r="N76">
        <f t="shared" si="12"/>
        <v>1.03</v>
      </c>
      <c r="O76" s="28">
        <f t="shared" si="14"/>
        <v>848031.66130000004</v>
      </c>
      <c r="P76" s="28">
        <f t="shared" si="15"/>
        <v>818549.18130000005</v>
      </c>
      <c r="Q76" s="30">
        <f t="shared" si="16"/>
        <v>818549.18130000005</v>
      </c>
      <c r="R76" s="2">
        <f t="shared" si="17"/>
        <v>1</v>
      </c>
      <c r="S76">
        <f t="shared" si="18"/>
        <v>2023</v>
      </c>
    </row>
    <row r="77" spans="1:19" x14ac:dyDescent="0.2">
      <c r="A77" t="s">
        <v>122</v>
      </c>
      <c r="B77" s="1">
        <v>44383</v>
      </c>
      <c r="C77" t="s">
        <v>21</v>
      </c>
      <c r="D77" s="3">
        <v>573849.48</v>
      </c>
      <c r="E77" t="s">
        <v>11</v>
      </c>
      <c r="F77" s="27">
        <f t="shared" si="13"/>
        <v>606697.05999999994</v>
      </c>
      <c r="G77" s="83">
        <v>5000000</v>
      </c>
      <c r="H77" s="3">
        <v>32847.58</v>
      </c>
      <c r="I77" t="s">
        <v>22</v>
      </c>
      <c r="J77" t="s">
        <v>13</v>
      </c>
      <c r="K77" t="s">
        <v>55</v>
      </c>
      <c r="L77">
        <f t="shared" ca="1" si="11"/>
        <v>65397</v>
      </c>
      <c r="M77">
        <v>3</v>
      </c>
      <c r="N77">
        <f t="shared" si="12"/>
        <v>1.071612</v>
      </c>
      <c r="O77" s="28">
        <f t="shared" si="14"/>
        <v>650143.84986071999</v>
      </c>
      <c r="P77" s="28">
        <f t="shared" si="15"/>
        <v>617296.26986072003</v>
      </c>
      <c r="Q77" s="30">
        <f t="shared" si="16"/>
        <v>617296.26986072003</v>
      </c>
      <c r="R77" s="2">
        <f t="shared" si="17"/>
        <v>1</v>
      </c>
      <c r="S77">
        <f t="shared" si="18"/>
        <v>2021</v>
      </c>
    </row>
    <row r="78" spans="1:19" x14ac:dyDescent="0.2">
      <c r="A78" t="s">
        <v>123</v>
      </c>
      <c r="B78" s="1">
        <v>43879</v>
      </c>
      <c r="C78" t="s">
        <v>26</v>
      </c>
      <c r="D78" s="3">
        <v>572839.44999999995</v>
      </c>
      <c r="E78" t="s">
        <v>11</v>
      </c>
      <c r="F78" s="27">
        <f t="shared" si="13"/>
        <v>605786.89999999991</v>
      </c>
      <c r="G78" s="83">
        <v>5000000</v>
      </c>
      <c r="H78" s="3">
        <v>32947.449999999997</v>
      </c>
      <c r="I78" t="s">
        <v>28</v>
      </c>
      <c r="J78" t="s">
        <v>23</v>
      </c>
      <c r="K78" t="s">
        <v>43</v>
      </c>
      <c r="L78">
        <f t="shared" ca="1" si="11"/>
        <v>91219</v>
      </c>
      <c r="M78">
        <v>6</v>
      </c>
      <c r="N78">
        <f t="shared" si="12"/>
        <v>1.1037603600000001</v>
      </c>
      <c r="O78" s="28">
        <f t="shared" si="14"/>
        <v>668643.56682728394</v>
      </c>
      <c r="P78" s="28">
        <f t="shared" si="15"/>
        <v>635696.11682728399</v>
      </c>
      <c r="Q78" s="30">
        <f t="shared" si="16"/>
        <v>635696.11682728399</v>
      </c>
      <c r="R78" s="2">
        <f t="shared" si="17"/>
        <v>1</v>
      </c>
      <c r="S78">
        <f t="shared" si="18"/>
        <v>2020</v>
      </c>
    </row>
    <row r="79" spans="1:19" x14ac:dyDescent="0.2">
      <c r="A79" t="s">
        <v>124</v>
      </c>
      <c r="B79" s="1">
        <v>44818</v>
      </c>
      <c r="C79" t="s">
        <v>16</v>
      </c>
      <c r="D79" s="3">
        <v>573839.54</v>
      </c>
      <c r="E79" t="s">
        <v>27</v>
      </c>
      <c r="F79" s="27">
        <f t="shared" si="13"/>
        <v>601678.92000000004</v>
      </c>
      <c r="G79" s="83">
        <v>5000000</v>
      </c>
      <c r="H79" s="3">
        <v>27839.38</v>
      </c>
      <c r="I79" t="s">
        <v>17</v>
      </c>
      <c r="J79" t="s">
        <v>18</v>
      </c>
      <c r="K79" t="s">
        <v>39</v>
      </c>
      <c r="L79">
        <f t="shared" ca="1" si="11"/>
        <v>72105</v>
      </c>
      <c r="M79">
        <v>3</v>
      </c>
      <c r="N79">
        <f t="shared" si="12"/>
        <v>1.0506</v>
      </c>
      <c r="O79" s="28">
        <f t="shared" si="14"/>
        <v>632123.87335200002</v>
      </c>
      <c r="P79" s="28">
        <f t="shared" si="15"/>
        <v>604284.49335200002</v>
      </c>
      <c r="Q79" s="30">
        <f t="shared" si="16"/>
        <v>604284.49335200002</v>
      </c>
      <c r="R79" s="2">
        <f t="shared" si="17"/>
        <v>1</v>
      </c>
      <c r="S79">
        <f t="shared" si="18"/>
        <v>2022</v>
      </c>
    </row>
    <row r="80" spans="1:19" x14ac:dyDescent="0.2">
      <c r="A80" t="s">
        <v>125</v>
      </c>
      <c r="B80" s="1">
        <v>44992</v>
      </c>
      <c r="C80" t="s">
        <v>32</v>
      </c>
      <c r="D80" s="3">
        <v>473839.25</v>
      </c>
      <c r="E80" t="s">
        <v>11</v>
      </c>
      <c r="F80" s="27">
        <f t="shared" si="13"/>
        <v>501321.63</v>
      </c>
      <c r="G80" s="83">
        <v>2000000</v>
      </c>
      <c r="H80" s="3">
        <v>27482.38</v>
      </c>
      <c r="I80" t="s">
        <v>12</v>
      </c>
      <c r="J80" t="s">
        <v>38</v>
      </c>
      <c r="K80" t="s">
        <v>24</v>
      </c>
      <c r="L80">
        <f t="shared" ca="1" si="11"/>
        <v>38111</v>
      </c>
      <c r="M80">
        <v>5</v>
      </c>
      <c r="N80">
        <f t="shared" si="12"/>
        <v>1.03</v>
      </c>
      <c r="O80" s="28">
        <f t="shared" si="14"/>
        <v>516361.27890000003</v>
      </c>
      <c r="P80" s="28">
        <f t="shared" si="15"/>
        <v>488878.89890000003</v>
      </c>
      <c r="Q80" s="30">
        <f t="shared" si="16"/>
        <v>488878.89890000003</v>
      </c>
      <c r="R80" s="2">
        <f t="shared" si="17"/>
        <v>1</v>
      </c>
      <c r="S80">
        <f t="shared" si="18"/>
        <v>2023</v>
      </c>
    </row>
    <row r="81" spans="1:19" x14ac:dyDescent="0.2">
      <c r="A81" t="s">
        <v>126</v>
      </c>
      <c r="B81" s="1">
        <v>44531</v>
      </c>
      <c r="C81" t="s">
        <v>10</v>
      </c>
      <c r="D81" s="3">
        <v>573849.48</v>
      </c>
      <c r="E81" t="s">
        <v>11</v>
      </c>
      <c r="F81" s="27">
        <f t="shared" si="13"/>
        <v>606697.05999999994</v>
      </c>
      <c r="G81" s="83">
        <v>5000000</v>
      </c>
      <c r="H81" s="3">
        <v>32847.58</v>
      </c>
      <c r="I81" t="s">
        <v>17</v>
      </c>
      <c r="J81" t="s">
        <v>29</v>
      </c>
      <c r="K81" t="s">
        <v>30</v>
      </c>
      <c r="L81">
        <f t="shared" ca="1" si="11"/>
        <v>28859</v>
      </c>
      <c r="M81">
        <v>7</v>
      </c>
      <c r="N81">
        <f t="shared" si="12"/>
        <v>1.071612</v>
      </c>
      <c r="O81" s="28">
        <f t="shared" si="14"/>
        <v>650143.84986071999</v>
      </c>
      <c r="P81" s="28">
        <f t="shared" si="15"/>
        <v>617296.26986072003</v>
      </c>
      <c r="Q81" s="30">
        <f t="shared" si="16"/>
        <v>617296.26986072003</v>
      </c>
      <c r="R81" s="2">
        <f t="shared" si="17"/>
        <v>1</v>
      </c>
      <c r="S81">
        <f t="shared" si="18"/>
        <v>2021</v>
      </c>
    </row>
    <row r="82" spans="1:19" x14ac:dyDescent="0.2">
      <c r="A82" t="s">
        <v>127</v>
      </c>
      <c r="B82" s="1">
        <v>43987</v>
      </c>
      <c r="C82" t="s">
        <v>21</v>
      </c>
      <c r="D82" s="3">
        <v>683849.75</v>
      </c>
      <c r="E82" t="s">
        <v>11</v>
      </c>
      <c r="F82" s="27">
        <f t="shared" si="13"/>
        <v>721798.13</v>
      </c>
      <c r="G82" s="83">
        <v>5000000</v>
      </c>
      <c r="H82" s="3">
        <v>37948.379999999997</v>
      </c>
      <c r="I82" t="s">
        <v>22</v>
      </c>
      <c r="J82" t="s">
        <v>13</v>
      </c>
      <c r="K82" t="s">
        <v>57</v>
      </c>
      <c r="L82">
        <f t="shared" ca="1" si="11"/>
        <v>24906</v>
      </c>
      <c r="M82">
        <v>3</v>
      </c>
      <c r="N82">
        <f t="shared" si="12"/>
        <v>1.1037603600000001</v>
      </c>
      <c r="O82" s="28">
        <f t="shared" si="14"/>
        <v>796692.16381612688</v>
      </c>
      <c r="P82" s="28">
        <f t="shared" si="15"/>
        <v>758743.78381612687</v>
      </c>
      <c r="Q82" s="30">
        <f t="shared" si="16"/>
        <v>758743.78381612687</v>
      </c>
      <c r="R82" s="2">
        <f t="shared" si="17"/>
        <v>1</v>
      </c>
      <c r="S82">
        <f t="shared" si="18"/>
        <v>2020</v>
      </c>
    </row>
    <row r="83" spans="1:19" x14ac:dyDescent="0.2">
      <c r="A83" t="s">
        <v>128</v>
      </c>
      <c r="B83" s="1">
        <v>43707</v>
      </c>
      <c r="C83" t="s">
        <v>26</v>
      </c>
      <c r="D83" s="3">
        <v>739849.45</v>
      </c>
      <c r="E83" t="s">
        <v>27</v>
      </c>
      <c r="F83" s="27">
        <f t="shared" si="13"/>
        <v>778796.89999999991</v>
      </c>
      <c r="G83" s="83">
        <v>5000000</v>
      </c>
      <c r="H83" s="3">
        <v>38947.449999999997</v>
      </c>
      <c r="I83" t="s">
        <v>28</v>
      </c>
      <c r="J83" t="s">
        <v>23</v>
      </c>
      <c r="K83" t="s">
        <v>51</v>
      </c>
      <c r="L83">
        <f t="shared" ca="1" si="11"/>
        <v>66816</v>
      </c>
      <c r="M83">
        <v>4</v>
      </c>
      <c r="N83">
        <f t="shared" si="12"/>
        <v>1.1479107743999999</v>
      </c>
      <c r="O83" s="28">
        <f t="shared" si="14"/>
        <v>893989.35257931915</v>
      </c>
      <c r="P83" s="28">
        <f t="shared" si="15"/>
        <v>855041.9025793192</v>
      </c>
      <c r="Q83" s="30">
        <f t="shared" si="16"/>
        <v>855041.9025793192</v>
      </c>
      <c r="R83" s="2">
        <f t="shared" si="17"/>
        <v>1</v>
      </c>
      <c r="S83">
        <f t="shared" si="18"/>
        <v>2019</v>
      </c>
    </row>
    <row r="84" spans="1:19" x14ac:dyDescent="0.2">
      <c r="A84" t="s">
        <v>129</v>
      </c>
      <c r="B84" s="1">
        <v>43426</v>
      </c>
      <c r="C84" t="s">
        <v>16</v>
      </c>
      <c r="D84" s="3">
        <v>573839.54</v>
      </c>
      <c r="E84" t="s">
        <v>11</v>
      </c>
      <c r="F84" s="27">
        <f t="shared" si="13"/>
        <v>601678.92000000004</v>
      </c>
      <c r="G84" s="83">
        <v>5000000</v>
      </c>
      <c r="H84" s="3">
        <v>27839.38</v>
      </c>
      <c r="I84" t="s">
        <v>17</v>
      </c>
      <c r="J84" t="s">
        <v>18</v>
      </c>
      <c r="K84" t="s">
        <v>72</v>
      </c>
      <c r="L84">
        <f t="shared" ca="1" si="11"/>
        <v>47037</v>
      </c>
      <c r="M84">
        <v>5</v>
      </c>
      <c r="N84">
        <f t="shared" si="12"/>
        <v>1.2053063131199999</v>
      </c>
      <c r="O84" s="28">
        <f t="shared" si="14"/>
        <v>725207.40074722341</v>
      </c>
      <c r="P84" s="28">
        <f t="shared" si="15"/>
        <v>697368.0207472234</v>
      </c>
      <c r="Q84" s="30">
        <f t="shared" si="16"/>
        <v>697368.0207472234</v>
      </c>
      <c r="R84" s="2">
        <f t="shared" si="17"/>
        <v>1</v>
      </c>
      <c r="S84">
        <f t="shared" si="18"/>
        <v>2018</v>
      </c>
    </row>
    <row r="85" spans="1:19" x14ac:dyDescent="0.2">
      <c r="A85" t="s">
        <v>130</v>
      </c>
      <c r="B85" s="1">
        <v>44955</v>
      </c>
      <c r="C85" t="s">
        <v>32</v>
      </c>
      <c r="D85" s="3">
        <v>572839.44999999995</v>
      </c>
      <c r="E85" t="s">
        <v>11</v>
      </c>
      <c r="F85" s="27">
        <f t="shared" si="13"/>
        <v>605786.89999999991</v>
      </c>
      <c r="G85" s="83">
        <v>5000000</v>
      </c>
      <c r="H85" s="3">
        <v>32947.449999999997</v>
      </c>
      <c r="I85" t="s">
        <v>12</v>
      </c>
      <c r="J85" t="s">
        <v>38</v>
      </c>
      <c r="K85" t="s">
        <v>65</v>
      </c>
      <c r="L85">
        <f t="shared" ca="1" si="11"/>
        <v>44746</v>
      </c>
      <c r="M85">
        <v>6</v>
      </c>
      <c r="N85">
        <f t="shared" si="12"/>
        <v>1.03</v>
      </c>
      <c r="O85" s="28">
        <f t="shared" si="14"/>
        <v>623960.50699999987</v>
      </c>
      <c r="P85" s="28">
        <f t="shared" si="15"/>
        <v>591013.05699999991</v>
      </c>
      <c r="Q85" s="30">
        <f t="shared" si="16"/>
        <v>591013.05699999991</v>
      </c>
      <c r="R85" s="2">
        <f t="shared" si="17"/>
        <v>1</v>
      </c>
      <c r="S85">
        <f t="shared" si="18"/>
        <v>2023</v>
      </c>
    </row>
    <row r="86" spans="1:19" x14ac:dyDescent="0.2">
      <c r="A86" t="s">
        <v>131</v>
      </c>
      <c r="B86" s="1">
        <v>44296</v>
      </c>
      <c r="C86" t="s">
        <v>10</v>
      </c>
      <c r="D86" s="3">
        <v>793849.23</v>
      </c>
      <c r="E86" t="s">
        <v>27</v>
      </c>
      <c r="F86" s="27">
        <f t="shared" si="13"/>
        <v>823331.71</v>
      </c>
      <c r="G86" s="83">
        <v>5000000</v>
      </c>
      <c r="H86" s="3">
        <v>29482.48</v>
      </c>
      <c r="I86" t="s">
        <v>17</v>
      </c>
      <c r="J86" t="s">
        <v>29</v>
      </c>
      <c r="K86" t="s">
        <v>47</v>
      </c>
      <c r="L86">
        <f t="shared" ca="1" si="11"/>
        <v>82797</v>
      </c>
      <c r="M86">
        <v>4</v>
      </c>
      <c r="N86">
        <f t="shared" si="12"/>
        <v>1.071612</v>
      </c>
      <c r="O86" s="28">
        <f t="shared" si="14"/>
        <v>882292.14041651995</v>
      </c>
      <c r="P86" s="28">
        <f t="shared" si="15"/>
        <v>852809.66041651997</v>
      </c>
      <c r="Q86" s="30">
        <f t="shared" si="16"/>
        <v>852809.66041651997</v>
      </c>
      <c r="R86" s="2">
        <f t="shared" si="17"/>
        <v>1</v>
      </c>
      <c r="S86">
        <f t="shared" si="18"/>
        <v>2021</v>
      </c>
    </row>
    <row r="87" spans="1:19" x14ac:dyDescent="0.2">
      <c r="A87" t="s">
        <v>132</v>
      </c>
      <c r="B87" s="1">
        <v>44032</v>
      </c>
      <c r="C87" t="s">
        <v>21</v>
      </c>
      <c r="D87" s="3">
        <v>573849.48</v>
      </c>
      <c r="E87" t="s">
        <v>11</v>
      </c>
      <c r="F87" s="27">
        <f t="shared" si="13"/>
        <v>606697.05999999994</v>
      </c>
      <c r="G87" s="83">
        <v>5000000</v>
      </c>
      <c r="H87" s="3">
        <v>32847.58</v>
      </c>
      <c r="I87" t="s">
        <v>22</v>
      </c>
      <c r="J87" t="s">
        <v>13</v>
      </c>
      <c r="K87" t="s">
        <v>19</v>
      </c>
      <c r="L87">
        <f t="shared" ca="1" si="11"/>
        <v>59125</v>
      </c>
      <c r="M87">
        <v>3</v>
      </c>
      <c r="N87">
        <f t="shared" si="12"/>
        <v>1.1037603600000001</v>
      </c>
      <c r="O87" s="28">
        <f t="shared" si="14"/>
        <v>669648.16535654163</v>
      </c>
      <c r="P87" s="28">
        <f t="shared" si="15"/>
        <v>636800.58535654168</v>
      </c>
      <c r="Q87" s="30">
        <f t="shared" si="16"/>
        <v>636800.58535654168</v>
      </c>
      <c r="R87" s="2">
        <f t="shared" si="17"/>
        <v>1</v>
      </c>
      <c r="S87">
        <f t="shared" si="18"/>
        <v>2020</v>
      </c>
    </row>
    <row r="88" spans="1:19" x14ac:dyDescent="0.2">
      <c r="A88" t="s">
        <v>133</v>
      </c>
      <c r="B88" s="1">
        <v>43520</v>
      </c>
      <c r="C88" t="s">
        <v>26</v>
      </c>
      <c r="D88" s="3">
        <v>572839.44999999995</v>
      </c>
      <c r="E88" t="s">
        <v>11</v>
      </c>
      <c r="F88" s="27">
        <f t="shared" si="13"/>
        <v>605786.89999999991</v>
      </c>
      <c r="G88" s="83">
        <v>5000000</v>
      </c>
      <c r="H88" s="3">
        <v>32947.449999999997</v>
      </c>
      <c r="I88" t="s">
        <v>28</v>
      </c>
      <c r="J88" t="s">
        <v>18</v>
      </c>
      <c r="K88" t="s">
        <v>49</v>
      </c>
      <c r="L88">
        <f t="shared" ca="1" si="11"/>
        <v>102584</v>
      </c>
      <c r="M88">
        <v>5</v>
      </c>
      <c r="N88">
        <f t="shared" si="12"/>
        <v>1.1479107743999999</v>
      </c>
      <c r="O88" s="28">
        <f t="shared" si="14"/>
        <v>695389.30950037518</v>
      </c>
      <c r="P88" s="28">
        <f t="shared" si="15"/>
        <v>662441.85950037523</v>
      </c>
      <c r="Q88" s="30">
        <f t="shared" si="16"/>
        <v>662441.85950037523</v>
      </c>
      <c r="R88" s="2">
        <f t="shared" si="17"/>
        <v>1</v>
      </c>
      <c r="S88">
        <f t="shared" si="18"/>
        <v>2019</v>
      </c>
    </row>
    <row r="89" spans="1:19" x14ac:dyDescent="0.2">
      <c r="A89" t="s">
        <v>134</v>
      </c>
      <c r="B89" s="1">
        <v>44884</v>
      </c>
      <c r="C89" t="s">
        <v>16</v>
      </c>
      <c r="D89" s="3">
        <v>573839.54</v>
      </c>
      <c r="E89" t="s">
        <v>27</v>
      </c>
      <c r="F89" s="27">
        <f t="shared" si="13"/>
        <v>601678.92000000004</v>
      </c>
      <c r="G89" s="83">
        <v>5000000</v>
      </c>
      <c r="H89" s="3">
        <v>27839.38</v>
      </c>
      <c r="I89" t="s">
        <v>17</v>
      </c>
      <c r="J89" t="s">
        <v>23</v>
      </c>
      <c r="K89" t="s">
        <v>41</v>
      </c>
      <c r="L89">
        <f t="shared" ca="1" si="11"/>
        <v>50778</v>
      </c>
      <c r="M89">
        <v>3</v>
      </c>
      <c r="N89">
        <f t="shared" si="12"/>
        <v>1.0506</v>
      </c>
      <c r="O89" s="28">
        <f t="shared" si="14"/>
        <v>632123.87335200002</v>
      </c>
      <c r="P89" s="28">
        <f t="shared" si="15"/>
        <v>604284.49335200002</v>
      </c>
      <c r="Q89" s="30">
        <f t="shared" si="16"/>
        <v>604284.49335200002</v>
      </c>
      <c r="R89" s="2">
        <f t="shared" si="17"/>
        <v>1</v>
      </c>
      <c r="S89">
        <f t="shared" si="18"/>
        <v>2022</v>
      </c>
    </row>
    <row r="90" spans="1:19" x14ac:dyDescent="0.2">
      <c r="A90" t="s">
        <v>135</v>
      </c>
      <c r="B90" s="1">
        <v>45091</v>
      </c>
      <c r="C90" t="s">
        <v>32</v>
      </c>
      <c r="D90" s="3">
        <v>473839.25</v>
      </c>
      <c r="E90" t="s">
        <v>11</v>
      </c>
      <c r="F90" s="27">
        <f t="shared" si="13"/>
        <v>501321.63</v>
      </c>
      <c r="G90" s="83">
        <v>2000000</v>
      </c>
      <c r="H90" s="3">
        <v>27482.38</v>
      </c>
      <c r="I90" t="s">
        <v>12</v>
      </c>
      <c r="J90" t="s">
        <v>38</v>
      </c>
      <c r="K90" t="s">
        <v>14</v>
      </c>
      <c r="L90">
        <f t="shared" ca="1" si="11"/>
        <v>49036</v>
      </c>
      <c r="M90">
        <v>7</v>
      </c>
      <c r="N90">
        <f t="shared" si="12"/>
        <v>1.03</v>
      </c>
      <c r="O90" s="28">
        <f t="shared" si="14"/>
        <v>516361.27890000003</v>
      </c>
      <c r="P90" s="28">
        <f t="shared" si="15"/>
        <v>488878.89890000003</v>
      </c>
      <c r="Q90" s="30">
        <f t="shared" si="16"/>
        <v>488878.89890000003</v>
      </c>
      <c r="R90" s="2">
        <f t="shared" si="17"/>
        <v>1</v>
      </c>
      <c r="S90">
        <f t="shared" si="18"/>
        <v>2023</v>
      </c>
    </row>
    <row r="91" spans="1:19" x14ac:dyDescent="0.2">
      <c r="A91" t="s">
        <v>136</v>
      </c>
      <c r="B91" s="1">
        <v>44419</v>
      </c>
      <c r="C91" t="s">
        <v>10</v>
      </c>
      <c r="D91" s="3">
        <v>573849.48</v>
      </c>
      <c r="E91" t="s">
        <v>11</v>
      </c>
      <c r="F91" s="27">
        <f t="shared" si="13"/>
        <v>606697.05999999994</v>
      </c>
      <c r="G91" s="83">
        <v>5000000</v>
      </c>
      <c r="H91" s="3">
        <v>32847.58</v>
      </c>
      <c r="I91" t="s">
        <v>17</v>
      </c>
      <c r="J91" t="s">
        <v>29</v>
      </c>
      <c r="K91" t="s">
        <v>39</v>
      </c>
      <c r="L91">
        <f t="shared" ca="1" si="11"/>
        <v>21492</v>
      </c>
      <c r="M91">
        <v>4</v>
      </c>
      <c r="N91">
        <f t="shared" si="12"/>
        <v>1.071612</v>
      </c>
      <c r="O91" s="28">
        <f t="shared" si="14"/>
        <v>650143.84986071999</v>
      </c>
      <c r="P91" s="28">
        <f t="shared" si="15"/>
        <v>617296.26986072003</v>
      </c>
      <c r="Q91" s="30">
        <f t="shared" si="16"/>
        <v>617296.26986072003</v>
      </c>
      <c r="R91" s="2">
        <f t="shared" si="17"/>
        <v>1</v>
      </c>
      <c r="S91">
        <f t="shared" si="18"/>
        <v>2021</v>
      </c>
    </row>
    <row r="92" spans="1:19" x14ac:dyDescent="0.2">
      <c r="A92" t="s">
        <v>137</v>
      </c>
      <c r="B92" s="1">
        <v>44186</v>
      </c>
      <c r="C92" t="s">
        <v>21</v>
      </c>
      <c r="D92" s="3">
        <v>683849.75</v>
      </c>
      <c r="E92" t="s">
        <v>11</v>
      </c>
      <c r="F92" s="27">
        <f t="shared" si="13"/>
        <v>721798.13</v>
      </c>
      <c r="G92" s="83">
        <v>5000000</v>
      </c>
      <c r="H92" s="3">
        <v>37948.379999999997</v>
      </c>
      <c r="I92" t="s">
        <v>22</v>
      </c>
      <c r="J92" t="s">
        <v>13</v>
      </c>
      <c r="K92" t="s">
        <v>36</v>
      </c>
      <c r="L92">
        <f t="shared" ca="1" si="11"/>
        <v>46439</v>
      </c>
      <c r="M92">
        <v>5</v>
      </c>
      <c r="N92">
        <f t="shared" si="12"/>
        <v>1.1037603600000001</v>
      </c>
      <c r="O92" s="28">
        <f t="shared" si="14"/>
        <v>796692.16381612688</v>
      </c>
      <c r="P92" s="28">
        <f t="shared" si="15"/>
        <v>758743.78381612687</v>
      </c>
      <c r="Q92" s="30">
        <f t="shared" si="16"/>
        <v>758743.78381612687</v>
      </c>
      <c r="R92" s="2">
        <f t="shared" si="17"/>
        <v>1</v>
      </c>
      <c r="S92">
        <f t="shared" si="18"/>
        <v>2020</v>
      </c>
    </row>
    <row r="93" spans="1:19" x14ac:dyDescent="0.2">
      <c r="A93" t="s">
        <v>138</v>
      </c>
      <c r="B93" s="1">
        <v>44704</v>
      </c>
      <c r="C93" t="s">
        <v>26</v>
      </c>
      <c r="D93" s="3">
        <v>739849.45</v>
      </c>
      <c r="E93" t="s">
        <v>27</v>
      </c>
      <c r="F93" s="27">
        <f t="shared" si="13"/>
        <v>778796.89999999991</v>
      </c>
      <c r="G93" s="83">
        <v>5000000</v>
      </c>
      <c r="H93" s="3">
        <v>38947.449999999997</v>
      </c>
      <c r="I93" t="s">
        <v>28</v>
      </c>
      <c r="J93" t="s">
        <v>23</v>
      </c>
      <c r="K93" t="s">
        <v>30</v>
      </c>
      <c r="L93">
        <f t="shared" ca="1" si="11"/>
        <v>96397</v>
      </c>
      <c r="M93">
        <v>6</v>
      </c>
      <c r="N93">
        <f t="shared" si="12"/>
        <v>1.0506</v>
      </c>
      <c r="O93" s="28">
        <f t="shared" si="14"/>
        <v>818204.02313999983</v>
      </c>
      <c r="P93" s="28">
        <f t="shared" si="15"/>
        <v>779256.57313999988</v>
      </c>
      <c r="Q93" s="30">
        <f t="shared" si="16"/>
        <v>779256.57313999988</v>
      </c>
      <c r="R93" s="2">
        <f t="shared" si="17"/>
        <v>1</v>
      </c>
      <c r="S93">
        <f t="shared" si="18"/>
        <v>2022</v>
      </c>
    </row>
    <row r="94" spans="1:19" x14ac:dyDescent="0.2">
      <c r="A94" t="s">
        <v>139</v>
      </c>
      <c r="B94" s="1">
        <v>43726</v>
      </c>
      <c r="C94" t="s">
        <v>16</v>
      </c>
      <c r="D94" s="3">
        <v>573839.54</v>
      </c>
      <c r="E94" t="s">
        <v>11</v>
      </c>
      <c r="F94" s="27">
        <f t="shared" si="13"/>
        <v>601678.92000000004</v>
      </c>
      <c r="G94" s="83">
        <v>5000000</v>
      </c>
      <c r="H94" s="3">
        <v>27839.38</v>
      </c>
      <c r="I94" t="s">
        <v>17</v>
      </c>
      <c r="J94" t="s">
        <v>18</v>
      </c>
      <c r="K94" t="s">
        <v>55</v>
      </c>
      <c r="L94">
        <f t="shared" ca="1" si="11"/>
        <v>32985</v>
      </c>
      <c r="M94">
        <v>3</v>
      </c>
      <c r="N94">
        <f t="shared" si="12"/>
        <v>1.1479107743999999</v>
      </c>
      <c r="O94" s="28">
        <f t="shared" si="14"/>
        <v>690673.71499735559</v>
      </c>
      <c r="P94" s="28">
        <f t="shared" si="15"/>
        <v>662834.33499735559</v>
      </c>
      <c r="Q94" s="30">
        <f t="shared" si="16"/>
        <v>662834.33499735559</v>
      </c>
      <c r="R94" s="2">
        <f t="shared" si="17"/>
        <v>1</v>
      </c>
      <c r="S94">
        <f t="shared" si="18"/>
        <v>2019</v>
      </c>
    </row>
    <row r="95" spans="1:19" x14ac:dyDescent="0.2">
      <c r="A95" t="s">
        <v>140</v>
      </c>
      <c r="B95" s="1">
        <v>45109</v>
      </c>
      <c r="C95" t="s">
        <v>32</v>
      </c>
      <c r="D95" s="3">
        <v>572839.44999999995</v>
      </c>
      <c r="E95" t="s">
        <v>11</v>
      </c>
      <c r="F95" s="27">
        <f t="shared" si="13"/>
        <v>605786.89999999991</v>
      </c>
      <c r="G95" s="83">
        <v>5000000</v>
      </c>
      <c r="H95" s="3">
        <v>32947.449999999997</v>
      </c>
      <c r="I95" t="s">
        <v>12</v>
      </c>
      <c r="J95" t="s">
        <v>38</v>
      </c>
      <c r="K95" t="s">
        <v>59</v>
      </c>
      <c r="L95">
        <f t="shared" ca="1" si="11"/>
        <v>30220</v>
      </c>
      <c r="M95">
        <v>4</v>
      </c>
      <c r="N95">
        <f t="shared" si="12"/>
        <v>1.03</v>
      </c>
      <c r="O95" s="28">
        <f t="shared" si="14"/>
        <v>623960.50699999987</v>
      </c>
      <c r="P95" s="28">
        <f t="shared" si="15"/>
        <v>591013.05699999991</v>
      </c>
      <c r="Q95" s="30">
        <f t="shared" si="16"/>
        <v>591013.05699999991</v>
      </c>
      <c r="R95" s="2">
        <f t="shared" si="17"/>
        <v>1</v>
      </c>
      <c r="S95">
        <f t="shared" si="18"/>
        <v>2023</v>
      </c>
    </row>
    <row r="96" spans="1:19" x14ac:dyDescent="0.2">
      <c r="A96" t="s">
        <v>141</v>
      </c>
      <c r="B96" s="1">
        <v>44281</v>
      </c>
      <c r="C96" t="s">
        <v>10</v>
      </c>
      <c r="D96" s="3">
        <v>793849.23</v>
      </c>
      <c r="E96" t="s">
        <v>27</v>
      </c>
      <c r="F96" s="27">
        <f t="shared" si="13"/>
        <v>823331.71</v>
      </c>
      <c r="G96" s="83">
        <v>5000000</v>
      </c>
      <c r="H96" s="3">
        <v>29482.48</v>
      </c>
      <c r="I96" t="s">
        <v>17</v>
      </c>
      <c r="J96" t="s">
        <v>29</v>
      </c>
      <c r="K96" t="s">
        <v>65</v>
      </c>
      <c r="L96">
        <f t="shared" ca="1" si="11"/>
        <v>99939</v>
      </c>
      <c r="M96">
        <v>3</v>
      </c>
      <c r="N96">
        <f t="shared" si="12"/>
        <v>1.071612</v>
      </c>
      <c r="O96" s="28">
        <f t="shared" si="14"/>
        <v>882292.14041651995</v>
      </c>
      <c r="P96" s="28">
        <f t="shared" si="15"/>
        <v>852809.66041651997</v>
      </c>
      <c r="Q96" s="30">
        <f t="shared" si="16"/>
        <v>852809.66041651997</v>
      </c>
      <c r="R96" s="2">
        <f t="shared" si="17"/>
        <v>1</v>
      </c>
      <c r="S96">
        <f t="shared" si="18"/>
        <v>2021</v>
      </c>
    </row>
    <row r="97" spans="1:19" x14ac:dyDescent="0.2">
      <c r="A97" t="s">
        <v>142</v>
      </c>
      <c r="B97" s="1">
        <v>43890</v>
      </c>
      <c r="C97" t="s">
        <v>21</v>
      </c>
      <c r="D97" s="3">
        <v>573849.48</v>
      </c>
      <c r="E97" t="s">
        <v>11</v>
      </c>
      <c r="F97" s="27">
        <f t="shared" si="13"/>
        <v>606697.05999999994</v>
      </c>
      <c r="G97" s="83">
        <v>5000000</v>
      </c>
      <c r="H97" s="3">
        <v>32847.58</v>
      </c>
      <c r="I97" t="s">
        <v>22</v>
      </c>
      <c r="J97" t="s">
        <v>13</v>
      </c>
      <c r="K97" t="s">
        <v>47</v>
      </c>
      <c r="L97">
        <f t="shared" ca="1" si="11"/>
        <v>26523</v>
      </c>
      <c r="M97">
        <v>6</v>
      </c>
      <c r="N97">
        <f t="shared" si="12"/>
        <v>1.1037603600000001</v>
      </c>
      <c r="O97" s="28">
        <f t="shared" si="14"/>
        <v>669648.16535654163</v>
      </c>
      <c r="P97" s="28">
        <f t="shared" si="15"/>
        <v>636800.58535654168</v>
      </c>
      <c r="Q97" s="30">
        <f t="shared" si="16"/>
        <v>636800.58535654168</v>
      </c>
      <c r="R97" s="2">
        <f t="shared" si="17"/>
        <v>1</v>
      </c>
      <c r="S97">
        <f t="shared" si="18"/>
        <v>2020</v>
      </c>
    </row>
    <row r="98" spans="1:19" x14ac:dyDescent="0.2">
      <c r="A98" t="s">
        <v>143</v>
      </c>
      <c r="B98" s="1">
        <v>43481</v>
      </c>
      <c r="C98" t="s">
        <v>26</v>
      </c>
      <c r="D98" s="3">
        <v>572839.44999999995</v>
      </c>
      <c r="E98" t="s">
        <v>11</v>
      </c>
      <c r="F98" s="27">
        <f t="shared" si="13"/>
        <v>605786.89999999991</v>
      </c>
      <c r="G98" s="83">
        <v>5000000</v>
      </c>
      <c r="H98" s="3">
        <v>32947.449999999997</v>
      </c>
      <c r="I98" t="s">
        <v>28</v>
      </c>
      <c r="J98" t="s">
        <v>18</v>
      </c>
      <c r="K98" t="s">
        <v>34</v>
      </c>
      <c r="L98">
        <f t="shared" ca="1" si="11"/>
        <v>90454</v>
      </c>
      <c r="M98">
        <v>5</v>
      </c>
      <c r="N98">
        <f t="shared" si="12"/>
        <v>1.1479107743999999</v>
      </c>
      <c r="O98" s="28">
        <f t="shared" si="14"/>
        <v>695389.30950037518</v>
      </c>
      <c r="P98" s="28">
        <f t="shared" si="15"/>
        <v>662441.85950037523</v>
      </c>
      <c r="Q98" s="30">
        <f t="shared" si="16"/>
        <v>662441.85950037523</v>
      </c>
      <c r="R98" s="2">
        <f t="shared" si="17"/>
        <v>1</v>
      </c>
      <c r="S98">
        <f t="shared" si="18"/>
        <v>2019</v>
      </c>
    </row>
    <row r="99" spans="1:19" x14ac:dyDescent="0.2">
      <c r="A99" t="s">
        <v>144</v>
      </c>
      <c r="B99" s="1">
        <v>44665</v>
      </c>
      <c r="C99" t="s">
        <v>16</v>
      </c>
      <c r="D99" s="3">
        <v>573839.54</v>
      </c>
      <c r="E99" t="s">
        <v>27</v>
      </c>
      <c r="F99" s="27">
        <f t="shared" si="13"/>
        <v>601678.92000000004</v>
      </c>
      <c r="G99" s="83">
        <v>5000000</v>
      </c>
      <c r="H99" s="3">
        <v>27839.38</v>
      </c>
      <c r="I99" t="s">
        <v>17</v>
      </c>
      <c r="J99" t="s">
        <v>23</v>
      </c>
      <c r="K99" t="s">
        <v>43</v>
      </c>
      <c r="L99">
        <f t="shared" ca="1" si="11"/>
        <v>40689</v>
      </c>
      <c r="M99">
        <v>3</v>
      </c>
      <c r="N99">
        <f t="shared" si="12"/>
        <v>1.0506</v>
      </c>
      <c r="O99" s="28">
        <f t="shared" si="14"/>
        <v>632123.87335200002</v>
      </c>
      <c r="P99" s="28">
        <f t="shared" si="15"/>
        <v>604284.49335200002</v>
      </c>
      <c r="Q99" s="30">
        <f t="shared" si="16"/>
        <v>604284.49335200002</v>
      </c>
      <c r="R99" s="2">
        <f t="shared" si="17"/>
        <v>1</v>
      </c>
      <c r="S99">
        <f t="shared" si="18"/>
        <v>2022</v>
      </c>
    </row>
    <row r="100" spans="1:19" x14ac:dyDescent="0.2">
      <c r="A100" t="s">
        <v>145</v>
      </c>
      <c r="B100" s="1">
        <v>45139</v>
      </c>
      <c r="C100" t="s">
        <v>32</v>
      </c>
      <c r="D100" s="3">
        <v>473839.25</v>
      </c>
      <c r="E100" t="s">
        <v>11</v>
      </c>
      <c r="F100" s="27">
        <f t="shared" si="13"/>
        <v>501321.63</v>
      </c>
      <c r="G100" s="83">
        <v>2000000</v>
      </c>
      <c r="H100" s="3">
        <v>27482.38</v>
      </c>
      <c r="I100" t="s">
        <v>12</v>
      </c>
      <c r="J100" t="s">
        <v>29</v>
      </c>
      <c r="K100" t="s">
        <v>53</v>
      </c>
      <c r="L100">
        <f t="shared" ca="1" si="11"/>
        <v>32166</v>
      </c>
      <c r="M100">
        <v>4</v>
      </c>
      <c r="N100">
        <f t="shared" si="12"/>
        <v>1.03</v>
      </c>
      <c r="O100" s="28">
        <f t="shared" si="14"/>
        <v>516361.27890000003</v>
      </c>
      <c r="P100" s="28">
        <f t="shared" si="15"/>
        <v>488878.89890000003</v>
      </c>
      <c r="Q100" s="30">
        <f t="shared" si="16"/>
        <v>488878.89890000003</v>
      </c>
      <c r="R100" s="2">
        <f t="shared" si="17"/>
        <v>1</v>
      </c>
      <c r="S100">
        <f t="shared" si="18"/>
        <v>2023</v>
      </c>
    </row>
    <row r="101" spans="1:19" x14ac:dyDescent="0.2">
      <c r="A101" t="s">
        <v>146</v>
      </c>
      <c r="B101" s="1">
        <v>44922</v>
      </c>
      <c r="C101" t="s">
        <v>26</v>
      </c>
      <c r="D101" s="3">
        <v>5000000</v>
      </c>
      <c r="E101" t="s">
        <v>33</v>
      </c>
      <c r="F101" s="27">
        <f t="shared" si="13"/>
        <v>5018723.79</v>
      </c>
      <c r="G101" s="83">
        <v>10000000</v>
      </c>
      <c r="H101" s="3">
        <v>18723.79</v>
      </c>
      <c r="I101" t="s">
        <v>28</v>
      </c>
      <c r="J101" t="s">
        <v>18</v>
      </c>
      <c r="K101" t="s">
        <v>59</v>
      </c>
      <c r="L101">
        <f t="shared" ca="1" si="11"/>
        <v>80769</v>
      </c>
      <c r="M101">
        <v>9</v>
      </c>
      <c r="N101">
        <f t="shared" si="12"/>
        <v>1.0506</v>
      </c>
      <c r="O101" s="28">
        <f t="shared" si="14"/>
        <v>5272671.2137740003</v>
      </c>
      <c r="P101" s="28">
        <f t="shared" si="15"/>
        <v>5253947.4237740003</v>
      </c>
      <c r="Q101" s="30">
        <f t="shared" si="16"/>
        <v>5253947.4237740003</v>
      </c>
      <c r="R101" s="2">
        <f t="shared" si="17"/>
        <v>0</v>
      </c>
      <c r="S101">
        <f t="shared" si="18"/>
        <v>2022</v>
      </c>
    </row>
  </sheetData>
  <autoFilter ref="A1:S101" xr:uid="{7354DF57-728B-AA4E-9CFF-ED2615DD969F}"/>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24695-2E03-4843-A4AB-C395928551D0}">
  <dimension ref="B1:Q128"/>
  <sheetViews>
    <sheetView topLeftCell="A10" workbookViewId="0">
      <selection activeCell="I51" sqref="C43:I51"/>
    </sheetView>
  </sheetViews>
  <sheetFormatPr baseColWidth="10" defaultColWidth="10.6640625" defaultRowHeight="16" x14ac:dyDescent="0.2"/>
  <cols>
    <col min="1" max="1" width="4.1640625" customWidth="1"/>
    <col min="2" max="2" width="5" customWidth="1"/>
    <col min="3" max="3" width="61.1640625" bestFit="1" customWidth="1"/>
    <col min="4" max="4" width="32.5" bestFit="1" customWidth="1"/>
    <col min="5" max="5" width="20" bestFit="1" customWidth="1"/>
    <col min="6" max="6" width="22.5" bestFit="1" customWidth="1"/>
    <col min="7" max="7" width="20.83203125" bestFit="1" customWidth="1"/>
    <col min="8" max="8" width="18.5" bestFit="1" customWidth="1"/>
    <col min="9" max="9" width="17.33203125" customWidth="1"/>
    <col min="10" max="10" width="15" bestFit="1" customWidth="1"/>
    <col min="11" max="11" width="16.6640625" bestFit="1" customWidth="1"/>
    <col min="12" max="12" width="16" bestFit="1" customWidth="1"/>
    <col min="13" max="16" width="15" bestFit="1" customWidth="1"/>
    <col min="17" max="17" width="19.33203125" customWidth="1"/>
    <col min="18" max="18" width="15" bestFit="1" customWidth="1"/>
    <col min="19" max="19" width="10.5" bestFit="1" customWidth="1"/>
    <col min="20" max="20" width="12.33203125" bestFit="1" customWidth="1"/>
    <col min="21" max="21" width="15" bestFit="1" customWidth="1"/>
    <col min="22" max="22" width="12.33203125" bestFit="1" customWidth="1"/>
    <col min="23" max="23" width="15" bestFit="1" customWidth="1"/>
    <col min="24" max="24" width="12.33203125" bestFit="1" customWidth="1"/>
    <col min="25" max="25" width="15" bestFit="1" customWidth="1"/>
    <col min="26" max="26" width="12.33203125" bestFit="1" customWidth="1"/>
    <col min="27" max="27" width="15" bestFit="1" customWidth="1"/>
    <col min="28" max="28" width="12.33203125" bestFit="1" customWidth="1"/>
    <col min="29" max="29" width="15" bestFit="1" customWidth="1"/>
    <col min="30" max="30" width="12.33203125" bestFit="1" customWidth="1"/>
    <col min="31" max="31" width="15" bestFit="1" customWidth="1"/>
    <col min="32" max="32" width="12.33203125" bestFit="1" customWidth="1"/>
    <col min="33" max="33" width="15" bestFit="1" customWidth="1"/>
    <col min="34" max="34" width="12.33203125" bestFit="1" customWidth="1"/>
    <col min="35" max="35" width="15" bestFit="1" customWidth="1"/>
    <col min="36" max="36" width="12.33203125" bestFit="1" customWidth="1"/>
    <col min="37" max="37" width="15" bestFit="1" customWidth="1"/>
    <col min="38" max="38" width="12.33203125" bestFit="1" customWidth="1"/>
    <col min="39" max="39" width="15" bestFit="1" customWidth="1"/>
    <col min="40" max="40" width="12.33203125" bestFit="1" customWidth="1"/>
    <col min="41" max="41" width="15" bestFit="1" customWidth="1"/>
    <col min="42" max="42" width="12.33203125" bestFit="1" customWidth="1"/>
    <col min="43" max="43" width="15" bestFit="1" customWidth="1"/>
    <col min="44" max="44" width="12.33203125" bestFit="1" customWidth="1"/>
    <col min="45" max="45" width="15" bestFit="1" customWidth="1"/>
    <col min="46" max="46" width="12.33203125" bestFit="1" customWidth="1"/>
    <col min="47" max="47" width="15" bestFit="1" customWidth="1"/>
    <col min="48" max="48" width="12.33203125" bestFit="1" customWidth="1"/>
    <col min="49" max="49" width="15" bestFit="1" customWidth="1"/>
    <col min="50" max="50" width="12.33203125" bestFit="1" customWidth="1"/>
    <col min="51" max="51" width="15" bestFit="1" customWidth="1"/>
    <col min="52" max="52" width="12.33203125" bestFit="1" customWidth="1"/>
    <col min="53" max="53" width="15" bestFit="1" customWidth="1"/>
    <col min="54" max="54" width="12.33203125" bestFit="1" customWidth="1"/>
    <col min="55" max="55" width="15" bestFit="1" customWidth="1"/>
    <col min="56" max="56" width="12.33203125" bestFit="1" customWidth="1"/>
    <col min="57" max="57" width="15" bestFit="1" customWidth="1"/>
    <col min="58" max="58" width="12.33203125" bestFit="1" customWidth="1"/>
    <col min="59" max="59" width="15" bestFit="1" customWidth="1"/>
    <col min="60" max="60" width="12.33203125" bestFit="1" customWidth="1"/>
    <col min="61" max="61" width="15" bestFit="1" customWidth="1"/>
    <col min="62" max="62" width="12.33203125" bestFit="1" customWidth="1"/>
    <col min="63" max="63" width="15" bestFit="1" customWidth="1"/>
    <col min="64" max="64" width="12.33203125" bestFit="1" customWidth="1"/>
    <col min="65" max="65" width="15" bestFit="1" customWidth="1"/>
    <col min="66" max="66" width="12.33203125" bestFit="1" customWidth="1"/>
    <col min="67" max="67" width="15" bestFit="1" customWidth="1"/>
    <col min="68" max="68" width="12.33203125" bestFit="1" customWidth="1"/>
    <col min="69" max="69" width="15" bestFit="1" customWidth="1"/>
    <col min="70" max="70" width="12.33203125" bestFit="1" customWidth="1"/>
    <col min="71" max="71" width="15" bestFit="1" customWidth="1"/>
    <col min="72" max="72" width="12.33203125" bestFit="1" customWidth="1"/>
    <col min="73" max="73" width="15" bestFit="1" customWidth="1"/>
    <col min="74" max="74" width="12.33203125" bestFit="1" customWidth="1"/>
    <col min="75" max="75" width="15" bestFit="1" customWidth="1"/>
    <col min="76" max="76" width="12.33203125" bestFit="1" customWidth="1"/>
    <col min="77" max="77" width="15" bestFit="1" customWidth="1"/>
    <col min="78" max="78" width="12.33203125" bestFit="1" customWidth="1"/>
    <col min="79" max="79" width="15" bestFit="1" customWidth="1"/>
    <col min="80" max="80" width="12.33203125" bestFit="1" customWidth="1"/>
    <col min="81" max="81" width="15" bestFit="1" customWidth="1"/>
    <col min="82" max="82" width="12.33203125" bestFit="1" customWidth="1"/>
    <col min="83" max="83" width="15" bestFit="1" customWidth="1"/>
    <col min="84" max="84" width="12.33203125" bestFit="1" customWidth="1"/>
    <col min="85" max="85" width="15" bestFit="1" customWidth="1"/>
    <col min="86" max="86" width="12.33203125" bestFit="1" customWidth="1"/>
    <col min="87" max="87" width="15" bestFit="1" customWidth="1"/>
    <col min="88" max="88" width="12.33203125" bestFit="1" customWidth="1"/>
    <col min="89" max="89" width="15" bestFit="1" customWidth="1"/>
    <col min="90" max="90" width="12.33203125" bestFit="1" customWidth="1"/>
    <col min="91" max="91" width="15" bestFit="1" customWidth="1"/>
    <col min="92" max="92" width="12.33203125" bestFit="1" customWidth="1"/>
    <col min="93" max="93" width="15" bestFit="1" customWidth="1"/>
    <col min="94" max="94" width="12.33203125" bestFit="1" customWidth="1"/>
    <col min="95" max="95" width="15" bestFit="1" customWidth="1"/>
    <col min="96" max="96" width="12.33203125" bestFit="1" customWidth="1"/>
    <col min="97" max="97" width="15" bestFit="1" customWidth="1"/>
    <col min="98" max="98" width="12.33203125" bestFit="1" customWidth="1"/>
    <col min="99" max="99" width="15" bestFit="1" customWidth="1"/>
    <col min="100" max="100" width="12.33203125" bestFit="1" customWidth="1"/>
    <col min="101" max="101" width="15" bestFit="1" customWidth="1"/>
    <col min="102" max="102" width="12.33203125" bestFit="1" customWidth="1"/>
    <col min="103" max="103" width="15" bestFit="1" customWidth="1"/>
    <col min="104" max="104" width="12.33203125" bestFit="1" customWidth="1"/>
    <col min="105" max="105" width="15" bestFit="1" customWidth="1"/>
    <col min="106" max="106" width="12.33203125" bestFit="1" customWidth="1"/>
    <col min="107" max="107" width="15" bestFit="1" customWidth="1"/>
    <col min="108" max="108" width="12.33203125" bestFit="1" customWidth="1"/>
    <col min="109" max="109" width="15" bestFit="1" customWidth="1"/>
    <col min="110" max="110" width="12.33203125" bestFit="1" customWidth="1"/>
    <col min="111" max="111" width="15" bestFit="1" customWidth="1"/>
    <col min="112" max="112" width="12.33203125" bestFit="1" customWidth="1"/>
    <col min="113" max="113" width="15" bestFit="1" customWidth="1"/>
    <col min="114" max="114" width="12.33203125" bestFit="1" customWidth="1"/>
    <col min="115" max="115" width="15" bestFit="1" customWidth="1"/>
    <col min="116" max="116" width="12.33203125" bestFit="1" customWidth="1"/>
    <col min="117" max="117" width="15" bestFit="1" customWidth="1"/>
    <col min="118" max="118" width="12.33203125" bestFit="1" customWidth="1"/>
    <col min="119" max="119" width="15" bestFit="1" customWidth="1"/>
    <col min="120" max="120" width="12.33203125" bestFit="1" customWidth="1"/>
    <col min="121" max="121" width="15" bestFit="1" customWidth="1"/>
    <col min="122" max="122" width="12.33203125" bestFit="1" customWidth="1"/>
    <col min="123" max="123" width="15" bestFit="1" customWidth="1"/>
    <col min="124" max="124" width="12.33203125" bestFit="1" customWidth="1"/>
    <col min="125" max="125" width="15" bestFit="1" customWidth="1"/>
    <col min="126" max="126" width="12.33203125" bestFit="1" customWidth="1"/>
    <col min="127" max="127" width="15" bestFit="1" customWidth="1"/>
    <col min="128" max="128" width="12.33203125" bestFit="1" customWidth="1"/>
    <col min="129" max="129" width="15" bestFit="1" customWidth="1"/>
    <col min="130" max="130" width="12.33203125" bestFit="1" customWidth="1"/>
    <col min="131" max="131" width="15" bestFit="1" customWidth="1"/>
    <col min="132" max="132" width="12.33203125" bestFit="1" customWidth="1"/>
    <col min="133" max="133" width="15" bestFit="1" customWidth="1"/>
    <col min="134" max="134" width="12.33203125" bestFit="1" customWidth="1"/>
    <col min="135" max="135" width="15" bestFit="1" customWidth="1"/>
    <col min="136" max="136" width="12.33203125" bestFit="1" customWidth="1"/>
    <col min="137" max="137" width="15" bestFit="1" customWidth="1"/>
    <col min="138" max="138" width="12.33203125" bestFit="1" customWidth="1"/>
    <col min="139" max="139" width="15" bestFit="1" customWidth="1"/>
    <col min="140" max="140" width="12.33203125" bestFit="1" customWidth="1"/>
    <col min="141" max="141" width="15" bestFit="1" customWidth="1"/>
    <col min="142" max="142" width="12.33203125" bestFit="1" customWidth="1"/>
    <col min="143" max="143" width="15" bestFit="1" customWidth="1"/>
    <col min="144" max="144" width="12.33203125" bestFit="1" customWidth="1"/>
    <col min="145" max="145" width="15" bestFit="1" customWidth="1"/>
    <col min="146" max="146" width="12.33203125" bestFit="1" customWidth="1"/>
    <col min="147" max="147" width="15" bestFit="1" customWidth="1"/>
    <col min="148" max="148" width="12.33203125" bestFit="1" customWidth="1"/>
    <col min="149" max="149" width="15" bestFit="1" customWidth="1"/>
    <col min="150" max="150" width="12.33203125" bestFit="1" customWidth="1"/>
    <col min="151" max="151" width="15" bestFit="1" customWidth="1"/>
    <col min="152" max="152" width="12.33203125" bestFit="1" customWidth="1"/>
    <col min="153" max="153" width="15" bestFit="1" customWidth="1"/>
    <col min="154" max="154" width="12.33203125" bestFit="1" customWidth="1"/>
    <col min="155" max="155" width="15" bestFit="1" customWidth="1"/>
    <col min="156" max="156" width="12.33203125" bestFit="1" customWidth="1"/>
    <col min="157" max="157" width="15" bestFit="1" customWidth="1"/>
    <col min="158" max="158" width="12.33203125" bestFit="1" customWidth="1"/>
    <col min="159" max="159" width="15" bestFit="1" customWidth="1"/>
    <col min="160" max="160" width="12.33203125" bestFit="1" customWidth="1"/>
    <col min="161" max="161" width="15" bestFit="1" customWidth="1"/>
    <col min="162" max="162" width="12.33203125" bestFit="1" customWidth="1"/>
    <col min="163" max="163" width="15" bestFit="1" customWidth="1"/>
    <col min="164" max="164" width="12.33203125" bestFit="1" customWidth="1"/>
    <col min="165" max="165" width="15" bestFit="1" customWidth="1"/>
    <col min="166" max="166" width="12.33203125" bestFit="1" customWidth="1"/>
    <col min="167" max="167" width="15" bestFit="1" customWidth="1"/>
    <col min="168" max="168" width="12.33203125" bestFit="1" customWidth="1"/>
    <col min="169" max="169" width="15" bestFit="1" customWidth="1"/>
    <col min="170" max="170" width="12.33203125" bestFit="1" customWidth="1"/>
    <col min="171" max="171" width="15" bestFit="1" customWidth="1"/>
    <col min="172" max="172" width="12.33203125" bestFit="1" customWidth="1"/>
    <col min="173" max="173" width="15" bestFit="1" customWidth="1"/>
    <col min="174" max="174" width="12.33203125" bestFit="1" customWidth="1"/>
    <col min="175" max="175" width="15" bestFit="1" customWidth="1"/>
    <col min="176" max="176" width="12.33203125" bestFit="1" customWidth="1"/>
    <col min="177" max="177" width="15" bestFit="1" customWidth="1"/>
    <col min="178" max="178" width="12.33203125" bestFit="1" customWidth="1"/>
    <col min="179" max="179" width="15" bestFit="1" customWidth="1"/>
    <col min="180" max="180" width="12.33203125" bestFit="1" customWidth="1"/>
    <col min="181" max="181" width="15" bestFit="1" customWidth="1"/>
    <col min="182" max="182" width="12.33203125" bestFit="1" customWidth="1"/>
    <col min="183" max="183" width="15" bestFit="1" customWidth="1"/>
    <col min="184" max="184" width="12.33203125" bestFit="1" customWidth="1"/>
    <col min="185" max="185" width="15" bestFit="1" customWidth="1"/>
    <col min="186" max="186" width="12.33203125" bestFit="1" customWidth="1"/>
    <col min="187" max="187" width="15" bestFit="1" customWidth="1"/>
    <col min="188" max="188" width="12.33203125" bestFit="1" customWidth="1"/>
    <col min="189" max="189" width="15" bestFit="1" customWidth="1"/>
    <col min="190" max="190" width="12.33203125" bestFit="1" customWidth="1"/>
    <col min="191" max="191" width="15" bestFit="1" customWidth="1"/>
    <col min="192" max="192" width="12.33203125" bestFit="1" customWidth="1"/>
    <col min="193" max="193" width="15" bestFit="1" customWidth="1"/>
    <col min="194" max="194" width="12.33203125" bestFit="1" customWidth="1"/>
    <col min="195" max="195" width="15" bestFit="1" customWidth="1"/>
    <col min="196" max="196" width="12.33203125" bestFit="1" customWidth="1"/>
    <col min="197" max="197" width="15" bestFit="1" customWidth="1"/>
    <col min="198" max="198" width="12.33203125" bestFit="1" customWidth="1"/>
    <col min="199" max="199" width="15" bestFit="1" customWidth="1"/>
    <col min="200" max="200" width="12.33203125" bestFit="1" customWidth="1"/>
    <col min="201" max="201" width="15" bestFit="1" customWidth="1"/>
    <col min="202" max="202" width="12.33203125" bestFit="1" customWidth="1"/>
    <col min="203" max="203" width="15" bestFit="1" customWidth="1"/>
    <col min="204" max="204" width="8.6640625" bestFit="1" customWidth="1"/>
    <col min="205" max="205" width="11.33203125" bestFit="1" customWidth="1"/>
    <col min="206" max="206" width="10.5" bestFit="1" customWidth="1"/>
  </cols>
  <sheetData>
    <row r="1" spans="2:17" ht="16.5" customHeight="1" x14ac:dyDescent="0.2"/>
    <row r="2" spans="2:17" ht="16.5" customHeight="1" x14ac:dyDescent="0.2">
      <c r="C2" s="43" t="s">
        <v>217</v>
      </c>
    </row>
    <row r="3" spans="2:17" ht="16.5" customHeight="1" x14ac:dyDescent="0.2"/>
    <row r="4" spans="2:17" ht="16.5" customHeight="1" x14ac:dyDescent="0.3">
      <c r="K4" s="38" t="s">
        <v>198</v>
      </c>
    </row>
    <row r="5" spans="2:17" x14ac:dyDescent="0.2">
      <c r="B5" s="23"/>
      <c r="C5" s="24" t="s">
        <v>178</v>
      </c>
      <c r="K5" s="18" t="s">
        <v>197</v>
      </c>
    </row>
    <row r="6" spans="2:17" x14ac:dyDescent="0.2">
      <c r="B6" s="23">
        <v>1</v>
      </c>
      <c r="C6" s="23" t="s">
        <v>179</v>
      </c>
      <c r="K6" s="97" t="s">
        <v>234</v>
      </c>
      <c r="L6" s="97" t="s">
        <v>235</v>
      </c>
    </row>
    <row r="7" spans="2:17" x14ac:dyDescent="0.2">
      <c r="B7" s="23">
        <v>2</v>
      </c>
      <c r="C7" s="23" t="s">
        <v>180</v>
      </c>
      <c r="K7" s="97" t="s">
        <v>231</v>
      </c>
      <c r="L7" t="s">
        <v>18</v>
      </c>
      <c r="M7" t="s">
        <v>13</v>
      </c>
      <c r="N7" t="s">
        <v>23</v>
      </c>
      <c r="O7" t="s">
        <v>38</v>
      </c>
      <c r="P7" t="s">
        <v>29</v>
      </c>
      <c r="Q7" t="s">
        <v>232</v>
      </c>
    </row>
    <row r="8" spans="2:17" x14ac:dyDescent="0.2">
      <c r="B8" s="23">
        <v>3</v>
      </c>
      <c r="C8" s="23" t="s">
        <v>181</v>
      </c>
      <c r="K8" s="6">
        <v>2018</v>
      </c>
      <c r="L8" s="96">
        <v>2142028.3530630278</v>
      </c>
      <c r="M8" s="96">
        <v>345659.15481496957</v>
      </c>
      <c r="N8" s="96">
        <v>2089235.8627935862</v>
      </c>
      <c r="O8" s="96">
        <v>1901893.9615339828</v>
      </c>
      <c r="P8" s="96"/>
      <c r="Q8" s="96">
        <v>6478817.3322055656</v>
      </c>
    </row>
    <row r="9" spans="2:17" x14ac:dyDescent="0.2">
      <c r="K9" s="6">
        <v>2019</v>
      </c>
      <c r="L9" s="96">
        <v>3078681.2639513393</v>
      </c>
      <c r="M9" s="96">
        <v>2703365.8435605606</v>
      </c>
      <c r="N9" s="96">
        <v>1402178.8199408767</v>
      </c>
      <c r="O9" s="96">
        <v>1650165.4198751706</v>
      </c>
      <c r="P9" s="96">
        <v>1557588.512059862</v>
      </c>
      <c r="Q9" s="96">
        <v>10391979.859387809</v>
      </c>
    </row>
    <row r="10" spans="2:17" x14ac:dyDescent="0.2">
      <c r="K10" s="6">
        <v>2020</v>
      </c>
      <c r="L10" s="96">
        <v>2384580.542741511</v>
      </c>
      <c r="M10" s="96">
        <v>2791088.7383453371</v>
      </c>
      <c r="N10" s="96">
        <v>3983656.4300786904</v>
      </c>
      <c r="O10" s="96"/>
      <c r="P10" s="96">
        <v>2913916.5089356764</v>
      </c>
      <c r="Q10" s="96">
        <v>12073242.220101215</v>
      </c>
    </row>
    <row r="11" spans="2:17" x14ac:dyDescent="0.2">
      <c r="K11" s="6">
        <v>2021</v>
      </c>
      <c r="L11" s="96">
        <v>3164451.8635344403</v>
      </c>
      <c r="M11" s="96">
        <v>1255557.55549184</v>
      </c>
      <c r="N11" s="96">
        <v>852809.66041651997</v>
      </c>
      <c r="O11" s="96">
        <v>1785612.8026580801</v>
      </c>
      <c r="P11" s="96">
        <v>4907895.4539492009</v>
      </c>
      <c r="Q11" s="96">
        <v>11966327.336050082</v>
      </c>
    </row>
    <row r="12" spans="2:17" x14ac:dyDescent="0.2">
      <c r="C12" s="20" t="s">
        <v>182</v>
      </c>
      <c r="K12" s="6">
        <v>2022</v>
      </c>
      <c r="L12" s="96">
        <v>7283308.5898000002</v>
      </c>
      <c r="M12" s="96">
        <v>1673107.8809119998</v>
      </c>
      <c r="N12" s="96">
        <v>3625547.243702</v>
      </c>
      <c r="O12" s="96">
        <v>1703600.6296979999</v>
      </c>
      <c r="P12" s="96">
        <v>720119.68831999996</v>
      </c>
      <c r="Q12" s="96">
        <v>15005684.032432001</v>
      </c>
    </row>
    <row r="13" spans="2:17" x14ac:dyDescent="0.2">
      <c r="C13" s="39">
        <f>AVERAGE('Claims Data'!F2:F1010)</f>
        <v>606718.30860000022</v>
      </c>
      <c r="K13" s="6">
        <v>2023</v>
      </c>
      <c r="L13" s="96">
        <v>1459094.6686999998</v>
      </c>
      <c r="M13" s="96">
        <v>103097.06539999999</v>
      </c>
      <c r="N13" s="96">
        <v>816921.86390000011</v>
      </c>
      <c r="O13" s="96">
        <v>3629817.9286000002</v>
      </c>
      <c r="P13" s="96">
        <v>1436945.8825000001</v>
      </c>
      <c r="Q13" s="96">
        <v>7445877.4090999998</v>
      </c>
    </row>
    <row r="14" spans="2:17" x14ac:dyDescent="0.2">
      <c r="K14" s="6" t="s">
        <v>232</v>
      </c>
      <c r="L14" s="96">
        <v>19512145.281790316</v>
      </c>
      <c r="M14" s="96">
        <v>8871876.2385247089</v>
      </c>
      <c r="N14" s="96">
        <v>12770349.880831674</v>
      </c>
      <c r="O14" s="96">
        <v>10671090.742365234</v>
      </c>
      <c r="P14" s="96">
        <v>11536466.045764741</v>
      </c>
      <c r="Q14" s="96">
        <v>63361928.189276665</v>
      </c>
    </row>
    <row r="15" spans="2:17" x14ac:dyDescent="0.2">
      <c r="C15" s="2" t="s">
        <v>154</v>
      </c>
    </row>
    <row r="16" spans="2:17" x14ac:dyDescent="0.2">
      <c r="C16" s="39">
        <f>AVERAGE('Claims Data'!O2:O101)</f>
        <v>662235.24239276652</v>
      </c>
      <c r="K16" s="18" t="s">
        <v>199</v>
      </c>
    </row>
    <row r="17" spans="3:17" x14ac:dyDescent="0.2">
      <c r="K17" s="97" t="s">
        <v>239</v>
      </c>
      <c r="L17" s="97" t="s">
        <v>235</v>
      </c>
    </row>
    <row r="18" spans="3:17" x14ac:dyDescent="0.2">
      <c r="C18" s="20" t="s">
        <v>155</v>
      </c>
      <c r="F18" s="20"/>
      <c r="K18" s="97" t="s">
        <v>231</v>
      </c>
      <c r="L18" t="s">
        <v>18</v>
      </c>
      <c r="M18" t="s">
        <v>13</v>
      </c>
      <c r="N18" t="s">
        <v>23</v>
      </c>
      <c r="O18" t="s">
        <v>38</v>
      </c>
      <c r="P18" t="s">
        <v>29</v>
      </c>
      <c r="Q18" t="s">
        <v>232</v>
      </c>
    </row>
    <row r="19" spans="3:17" x14ac:dyDescent="0.2">
      <c r="F19" s="21"/>
      <c r="K19" s="6">
        <v>2018</v>
      </c>
      <c r="L19" s="98">
        <v>3</v>
      </c>
      <c r="M19" s="98">
        <v>1</v>
      </c>
      <c r="N19" s="98">
        <v>3</v>
      </c>
      <c r="O19" s="98">
        <v>3</v>
      </c>
      <c r="P19" s="98"/>
      <c r="Q19" s="98">
        <v>10</v>
      </c>
    </row>
    <row r="20" spans="3:17" x14ac:dyDescent="0.2">
      <c r="C20" s="97" t="s">
        <v>231</v>
      </c>
      <c r="D20" t="s">
        <v>233</v>
      </c>
      <c r="E20" s="40"/>
      <c r="F20" s="41"/>
      <c r="K20" s="6">
        <v>2019</v>
      </c>
      <c r="L20" s="98">
        <v>5</v>
      </c>
      <c r="M20" s="98">
        <v>5</v>
      </c>
      <c r="N20" s="98">
        <v>2</v>
      </c>
      <c r="O20" s="98">
        <v>3</v>
      </c>
      <c r="P20" s="98">
        <v>2</v>
      </c>
      <c r="Q20" s="98">
        <v>17</v>
      </c>
    </row>
    <row r="21" spans="3:17" x14ac:dyDescent="0.2">
      <c r="C21" s="6">
        <v>2018</v>
      </c>
      <c r="D21" s="96">
        <v>669173.20322055672</v>
      </c>
      <c r="E21" s="40"/>
      <c r="F21" s="41"/>
      <c r="K21" s="6">
        <v>2020</v>
      </c>
      <c r="L21" s="98">
        <v>4</v>
      </c>
      <c r="M21" s="98">
        <v>4</v>
      </c>
      <c r="N21" s="98">
        <v>6</v>
      </c>
      <c r="O21" s="98"/>
      <c r="P21" s="98">
        <v>6</v>
      </c>
      <c r="Q21" s="98">
        <v>20</v>
      </c>
    </row>
    <row r="22" spans="3:17" x14ac:dyDescent="0.2">
      <c r="C22" s="6">
        <v>2019</v>
      </c>
      <c r="D22" s="96">
        <v>639792.99937575357</v>
      </c>
      <c r="E22" s="40"/>
      <c r="F22" s="41"/>
      <c r="K22" s="6">
        <v>2021</v>
      </c>
      <c r="L22" s="98">
        <v>5</v>
      </c>
      <c r="M22" s="98">
        <v>3</v>
      </c>
      <c r="N22" s="98">
        <v>1</v>
      </c>
      <c r="O22" s="98">
        <v>3</v>
      </c>
      <c r="P22" s="98">
        <v>8</v>
      </c>
      <c r="Q22" s="98">
        <v>20</v>
      </c>
    </row>
    <row r="23" spans="3:17" x14ac:dyDescent="0.2">
      <c r="C23" s="6">
        <v>2020</v>
      </c>
      <c r="D23" s="96">
        <v>636678.22750506061</v>
      </c>
      <c r="E23" s="40"/>
      <c r="F23" s="41"/>
      <c r="K23" s="6">
        <v>2022</v>
      </c>
      <c r="L23" s="98">
        <v>4</v>
      </c>
      <c r="M23" s="98">
        <v>4</v>
      </c>
      <c r="N23" s="98">
        <v>5</v>
      </c>
      <c r="O23" s="98">
        <v>3</v>
      </c>
      <c r="P23" s="98">
        <v>1</v>
      </c>
      <c r="Q23" s="98">
        <v>17</v>
      </c>
    </row>
    <row r="24" spans="3:17" x14ac:dyDescent="0.2">
      <c r="C24" s="6">
        <v>2021</v>
      </c>
      <c r="D24" s="96">
        <v>626237.1313025041</v>
      </c>
      <c r="E24" s="40"/>
      <c r="F24" s="41"/>
      <c r="K24" s="6">
        <v>2023</v>
      </c>
      <c r="L24" s="98">
        <v>2</v>
      </c>
      <c r="M24" s="98">
        <v>1</v>
      </c>
      <c r="N24" s="98">
        <v>2</v>
      </c>
      <c r="O24" s="98">
        <v>8</v>
      </c>
      <c r="P24" s="98">
        <v>3</v>
      </c>
      <c r="Q24" s="98">
        <v>16</v>
      </c>
    </row>
    <row r="25" spans="3:17" x14ac:dyDescent="0.2">
      <c r="C25" s="6">
        <v>2022</v>
      </c>
      <c r="D25" s="96">
        <v>911278.74249600002</v>
      </c>
      <c r="E25" s="40"/>
      <c r="F25" s="41"/>
      <c r="K25" s="6" t="s">
        <v>232</v>
      </c>
      <c r="L25" s="98">
        <v>23</v>
      </c>
      <c r="M25" s="98">
        <v>18</v>
      </c>
      <c r="N25" s="98">
        <v>19</v>
      </c>
      <c r="O25" s="98">
        <v>20</v>
      </c>
      <c r="P25" s="98">
        <v>20</v>
      </c>
      <c r="Q25" s="98">
        <v>100</v>
      </c>
    </row>
    <row r="26" spans="3:17" x14ac:dyDescent="0.2">
      <c r="C26" s="6">
        <v>2023</v>
      </c>
      <c r="D26" s="96">
        <v>494079.08869375003</v>
      </c>
      <c r="E26" s="40"/>
      <c r="F26" s="41"/>
    </row>
    <row r="27" spans="3:17" x14ac:dyDescent="0.2">
      <c r="C27" s="6" t="s">
        <v>232</v>
      </c>
      <c r="D27" s="96">
        <v>662235.24239276676</v>
      </c>
      <c r="E27" s="40"/>
      <c r="F27" s="41"/>
      <c r="K27" s="18" t="s">
        <v>200</v>
      </c>
    </row>
    <row r="28" spans="3:17" x14ac:dyDescent="0.2">
      <c r="F28" s="25"/>
      <c r="K28" s="97" t="s">
        <v>237</v>
      </c>
      <c r="L28" s="97" t="s">
        <v>235</v>
      </c>
    </row>
    <row r="29" spans="3:17" ht="16.5" customHeight="1" x14ac:dyDescent="0.2">
      <c r="K29" s="97" t="s">
        <v>231</v>
      </c>
      <c r="L29" t="s">
        <v>18</v>
      </c>
      <c r="M29" t="s">
        <v>13</v>
      </c>
      <c r="N29" t="s">
        <v>23</v>
      </c>
      <c r="O29" t="s">
        <v>38</v>
      </c>
      <c r="P29" t="s">
        <v>29</v>
      </c>
      <c r="Q29" t="s">
        <v>232</v>
      </c>
    </row>
    <row r="30" spans="3:17" ht="22" x14ac:dyDescent="0.3">
      <c r="C30" s="38" t="s">
        <v>156</v>
      </c>
      <c r="K30" s="6">
        <v>2018</v>
      </c>
      <c r="L30" s="96">
        <v>714009.45102100924</v>
      </c>
      <c r="M30" s="96">
        <v>345659.15481496957</v>
      </c>
      <c r="N30" s="96">
        <v>696411.9542645287</v>
      </c>
      <c r="O30" s="96">
        <v>633964.65384466096</v>
      </c>
      <c r="P30" s="96"/>
      <c r="Q30" s="96">
        <v>647881.73322055663</v>
      </c>
    </row>
    <row r="31" spans="3:17" x14ac:dyDescent="0.2">
      <c r="C31" s="18" t="s">
        <v>190</v>
      </c>
      <c r="K31" s="6">
        <v>2019</v>
      </c>
      <c r="L31" s="96">
        <v>615736.25279026781</v>
      </c>
      <c r="M31" s="96">
        <v>540673.16871211212</v>
      </c>
      <c r="N31" s="96">
        <v>701089.40997043834</v>
      </c>
      <c r="O31" s="96">
        <v>550055.13995839015</v>
      </c>
      <c r="P31" s="96">
        <v>778794.25602993101</v>
      </c>
      <c r="Q31" s="96">
        <v>611292.93290516525</v>
      </c>
    </row>
    <row r="32" spans="3:17" x14ac:dyDescent="0.2">
      <c r="C32" s="97" t="s">
        <v>234</v>
      </c>
      <c r="D32" s="97" t="s">
        <v>235</v>
      </c>
      <c r="K32" s="6">
        <v>2020</v>
      </c>
      <c r="L32" s="96">
        <v>596145.13568537775</v>
      </c>
      <c r="M32" s="96">
        <v>697772.18458633428</v>
      </c>
      <c r="N32" s="96">
        <v>663942.7383464484</v>
      </c>
      <c r="O32" s="96"/>
      <c r="P32" s="96">
        <v>485652.75148927938</v>
      </c>
      <c r="Q32" s="96">
        <v>603662.11100506096</v>
      </c>
    </row>
    <row r="33" spans="3:17" x14ac:dyDescent="0.2">
      <c r="C33" s="97" t="s">
        <v>231</v>
      </c>
      <c r="D33" t="s">
        <v>16</v>
      </c>
      <c r="E33" t="s">
        <v>10</v>
      </c>
      <c r="F33" t="s">
        <v>21</v>
      </c>
      <c r="G33" t="s">
        <v>26</v>
      </c>
      <c r="H33" t="s">
        <v>32</v>
      </c>
      <c r="I33" t="s">
        <v>232</v>
      </c>
      <c r="K33" s="6">
        <v>2021</v>
      </c>
      <c r="L33" s="96">
        <v>632890.37270688801</v>
      </c>
      <c r="M33" s="96">
        <v>418519.18516394665</v>
      </c>
      <c r="N33" s="96">
        <v>852809.66041651997</v>
      </c>
      <c r="O33" s="96">
        <v>595204.26755269337</v>
      </c>
      <c r="P33" s="96">
        <v>613486.93174365012</v>
      </c>
      <c r="Q33" s="96">
        <v>598316.36680250405</v>
      </c>
    </row>
    <row r="34" spans="3:17" x14ac:dyDescent="0.2">
      <c r="C34" s="6">
        <v>2018</v>
      </c>
      <c r="D34" s="96">
        <v>697368.0207472234</v>
      </c>
      <c r="E34" s="96">
        <v>2405966.0874662898</v>
      </c>
      <c r="F34" s="96">
        <v>1375285.277522712</v>
      </c>
      <c r="G34" s="96"/>
      <c r="H34" s="96">
        <v>2000197.9464693414</v>
      </c>
      <c r="I34" s="96">
        <v>6478817.3322055666</v>
      </c>
      <c r="K34" s="6">
        <v>2022</v>
      </c>
      <c r="L34" s="96">
        <v>1820827.14745</v>
      </c>
      <c r="M34" s="96">
        <v>418276.97022799996</v>
      </c>
      <c r="N34" s="96">
        <v>725109.44874040002</v>
      </c>
      <c r="O34" s="96">
        <v>567866.87656599993</v>
      </c>
      <c r="P34" s="96">
        <v>720119.68831999996</v>
      </c>
      <c r="Q34" s="96">
        <v>882687.29602541169</v>
      </c>
    </row>
    <row r="35" spans="3:17" x14ac:dyDescent="0.2">
      <c r="C35" s="6">
        <v>2019</v>
      </c>
      <c r="D35" s="96">
        <v>662834.33499735559</v>
      </c>
      <c r="E35" s="96">
        <v>3253999.8527008849</v>
      </c>
      <c r="F35" s="96">
        <v>2434672.3592118071</v>
      </c>
      <c r="G35" s="96">
        <v>3215152.3493829388</v>
      </c>
      <c r="H35" s="96">
        <v>825320.96309482318</v>
      </c>
      <c r="I35" s="96">
        <v>10391979.859387809</v>
      </c>
      <c r="K35" s="6">
        <v>2023</v>
      </c>
      <c r="L35" s="96">
        <v>729547.3343499999</v>
      </c>
      <c r="M35" s="96">
        <v>103097.06539999999</v>
      </c>
      <c r="N35" s="96">
        <v>408460.93195000006</v>
      </c>
      <c r="O35" s="96">
        <v>453727.24107500003</v>
      </c>
      <c r="P35" s="96">
        <v>478981.96083333337</v>
      </c>
      <c r="Q35" s="96">
        <v>465367.33806875005</v>
      </c>
    </row>
    <row r="36" spans="3:17" x14ac:dyDescent="0.2">
      <c r="C36" s="6">
        <v>2020</v>
      </c>
      <c r="D36" s="96">
        <v>3570921.3315225951</v>
      </c>
      <c r="E36" s="96"/>
      <c r="F36" s="96">
        <v>3050494.7499306966</v>
      </c>
      <c r="G36" s="96">
        <v>3693140.9137192685</v>
      </c>
      <c r="H36" s="96">
        <v>1758685.2249286552</v>
      </c>
      <c r="I36" s="96">
        <v>12073242.220101215</v>
      </c>
      <c r="K36" s="6" t="s">
        <v>232</v>
      </c>
      <c r="L36" s="96">
        <v>848354.14268653584</v>
      </c>
      <c r="M36" s="96">
        <v>492882.01325137273</v>
      </c>
      <c r="N36" s="96">
        <v>672123.67793850915</v>
      </c>
      <c r="O36" s="96">
        <v>533554.5371182618</v>
      </c>
      <c r="P36" s="96">
        <v>576823.30228823691</v>
      </c>
      <c r="Q36" s="96">
        <v>633619.28189276671</v>
      </c>
    </row>
    <row r="37" spans="3:17" x14ac:dyDescent="0.2">
      <c r="C37" s="6">
        <v>2021</v>
      </c>
      <c r="D37" s="96">
        <v>1781773.1680748803</v>
      </c>
      <c r="E37" s="96">
        <v>4027741.5256802402</v>
      </c>
      <c r="F37" s="96">
        <v>2386006.5987511203</v>
      </c>
      <c r="G37" s="96">
        <v>3537852.8211535201</v>
      </c>
      <c r="H37" s="96">
        <v>232953.22239032001</v>
      </c>
      <c r="I37" s="96">
        <v>11966327.33605008</v>
      </c>
    </row>
    <row r="38" spans="3:17" x14ac:dyDescent="0.2">
      <c r="C38" s="6">
        <v>2022</v>
      </c>
      <c r="D38" s="96">
        <v>2937526.7408780004</v>
      </c>
      <c r="E38" s="96">
        <v>997566.67877399991</v>
      </c>
      <c r="F38" s="96">
        <v>2654253.808468</v>
      </c>
      <c r="G38" s="96">
        <v>8416336.8043120001</v>
      </c>
      <c r="H38" s="96"/>
      <c r="I38" s="96">
        <v>15005684.032432001</v>
      </c>
    </row>
    <row r="39" spans="3:17" x14ac:dyDescent="0.2">
      <c r="C39" s="6">
        <v>2023</v>
      </c>
      <c r="D39" s="96">
        <v>1570662.8665999998</v>
      </c>
      <c r="E39" s="96">
        <v>1410599.5731000002</v>
      </c>
      <c r="F39" s="96">
        <v>834871.46829999995</v>
      </c>
      <c r="G39" s="96"/>
      <c r="H39" s="96">
        <v>3629743.5011</v>
      </c>
      <c r="I39" s="96">
        <v>7445877.4090999998</v>
      </c>
      <c r="K39" s="85" t="s">
        <v>183</v>
      </c>
      <c r="L39" s="85"/>
      <c r="M39" s="85"/>
    </row>
    <row r="40" spans="3:17" x14ac:dyDescent="0.2">
      <c r="C40" s="6" t="s">
        <v>232</v>
      </c>
      <c r="D40" s="96">
        <v>11221086.462820055</v>
      </c>
      <c r="E40" s="96">
        <v>12095873.717721414</v>
      </c>
      <c r="F40" s="96">
        <v>12735584.262184337</v>
      </c>
      <c r="G40" s="96">
        <v>18862482.888567727</v>
      </c>
      <c r="H40" s="96">
        <v>8446900.8579831403</v>
      </c>
      <c r="I40" s="96">
        <v>63361928.189276665</v>
      </c>
      <c r="K40" s="85" t="s">
        <v>201</v>
      </c>
      <c r="L40" s="85"/>
      <c r="M40" s="85"/>
    </row>
    <row r="41" spans="3:17" x14ac:dyDescent="0.2">
      <c r="K41" s="85" t="s">
        <v>202</v>
      </c>
      <c r="L41" s="85"/>
      <c r="M41" s="85"/>
    </row>
    <row r="42" spans="3:17" x14ac:dyDescent="0.2">
      <c r="C42" s="18" t="s">
        <v>191</v>
      </c>
    </row>
    <row r="43" spans="3:17" x14ac:dyDescent="0.2">
      <c r="C43" s="97" t="s">
        <v>236</v>
      </c>
      <c r="D43" s="97" t="s">
        <v>235</v>
      </c>
    </row>
    <row r="44" spans="3:17" x14ac:dyDescent="0.2">
      <c r="C44" s="97" t="s">
        <v>231</v>
      </c>
      <c r="D44" t="s">
        <v>16</v>
      </c>
      <c r="E44" t="s">
        <v>10</v>
      </c>
      <c r="F44" t="s">
        <v>21</v>
      </c>
      <c r="G44" t="s">
        <v>26</v>
      </c>
      <c r="H44" t="s">
        <v>32</v>
      </c>
      <c r="I44" t="s">
        <v>232</v>
      </c>
    </row>
    <row r="45" spans="3:17" x14ac:dyDescent="0.2">
      <c r="C45" s="6">
        <v>2018</v>
      </c>
      <c r="D45" s="98">
        <v>1</v>
      </c>
      <c r="E45" s="98">
        <v>4</v>
      </c>
      <c r="F45" s="98">
        <v>2</v>
      </c>
      <c r="G45" s="98"/>
      <c r="H45" s="98">
        <v>3</v>
      </c>
      <c r="I45" s="98">
        <v>10</v>
      </c>
    </row>
    <row r="46" spans="3:17" x14ac:dyDescent="0.2">
      <c r="C46" s="6">
        <v>2019</v>
      </c>
      <c r="D46" s="98">
        <v>1</v>
      </c>
      <c r="E46" s="98">
        <v>6</v>
      </c>
      <c r="F46" s="98">
        <v>3</v>
      </c>
      <c r="G46" s="98">
        <v>5</v>
      </c>
      <c r="H46" s="98">
        <v>2</v>
      </c>
      <c r="I46" s="98">
        <v>17</v>
      </c>
    </row>
    <row r="47" spans="3:17" x14ac:dyDescent="0.2">
      <c r="C47" s="6">
        <v>2020</v>
      </c>
      <c r="D47" s="98">
        <v>6</v>
      </c>
      <c r="E47" s="98"/>
      <c r="F47" s="98">
        <v>5</v>
      </c>
      <c r="G47" s="98">
        <v>6</v>
      </c>
      <c r="H47" s="98">
        <v>3</v>
      </c>
      <c r="I47" s="98">
        <v>20</v>
      </c>
    </row>
    <row r="48" spans="3:17" x14ac:dyDescent="0.2">
      <c r="C48" s="6">
        <v>2021</v>
      </c>
      <c r="D48" s="98">
        <v>3</v>
      </c>
      <c r="E48" s="98">
        <v>6</v>
      </c>
      <c r="F48" s="98">
        <v>4</v>
      </c>
      <c r="G48" s="98">
        <v>6</v>
      </c>
      <c r="H48" s="98">
        <v>1</v>
      </c>
      <c r="I48" s="98">
        <v>20</v>
      </c>
    </row>
    <row r="49" spans="3:11" x14ac:dyDescent="0.2">
      <c r="C49" s="6">
        <v>2022</v>
      </c>
      <c r="D49" s="98">
        <v>5</v>
      </c>
      <c r="E49" s="98">
        <v>3</v>
      </c>
      <c r="F49" s="98">
        <v>4</v>
      </c>
      <c r="G49" s="98">
        <v>5</v>
      </c>
      <c r="H49" s="98"/>
      <c r="I49" s="98">
        <v>17</v>
      </c>
    </row>
    <row r="50" spans="3:11" x14ac:dyDescent="0.2">
      <c r="C50" s="6">
        <v>2023</v>
      </c>
      <c r="D50" s="98">
        <v>3</v>
      </c>
      <c r="E50" s="98">
        <v>2</v>
      </c>
      <c r="F50" s="98">
        <v>2</v>
      </c>
      <c r="G50" s="98"/>
      <c r="H50" s="98">
        <v>9</v>
      </c>
      <c r="I50" s="98">
        <v>16</v>
      </c>
      <c r="K50" s="22"/>
    </row>
    <row r="51" spans="3:11" x14ac:dyDescent="0.2">
      <c r="C51" s="6" t="s">
        <v>232</v>
      </c>
      <c r="D51" s="98">
        <v>19</v>
      </c>
      <c r="E51" s="98">
        <v>21</v>
      </c>
      <c r="F51" s="98">
        <v>20</v>
      </c>
      <c r="G51" s="98">
        <v>22</v>
      </c>
      <c r="H51" s="98">
        <v>18</v>
      </c>
      <c r="I51" s="98">
        <v>100</v>
      </c>
    </row>
    <row r="53" spans="3:11" x14ac:dyDescent="0.2">
      <c r="C53" s="18" t="s">
        <v>192</v>
      </c>
    </row>
    <row r="54" spans="3:11" x14ac:dyDescent="0.2">
      <c r="C54" s="97" t="s">
        <v>237</v>
      </c>
      <c r="D54" s="97" t="s">
        <v>235</v>
      </c>
    </row>
    <row r="55" spans="3:11" x14ac:dyDescent="0.2">
      <c r="C55" s="97" t="s">
        <v>231</v>
      </c>
      <c r="D55" t="s">
        <v>16</v>
      </c>
      <c r="E55" t="s">
        <v>10</v>
      </c>
      <c r="F55" t="s">
        <v>21</v>
      </c>
      <c r="G55" t="s">
        <v>26</v>
      </c>
      <c r="H55" t="s">
        <v>32</v>
      </c>
      <c r="I55" t="s">
        <v>232</v>
      </c>
    </row>
    <row r="56" spans="3:11" x14ac:dyDescent="0.2">
      <c r="C56" s="6">
        <v>2018</v>
      </c>
      <c r="D56" s="96">
        <v>697368.0207472234</v>
      </c>
      <c r="E56" s="96">
        <v>601491.52186657244</v>
      </c>
      <c r="F56" s="96">
        <v>687642.63876135601</v>
      </c>
      <c r="G56" s="96"/>
      <c r="H56" s="96">
        <v>666732.64882311376</v>
      </c>
      <c r="I56" s="96">
        <v>647881.73322055663</v>
      </c>
    </row>
    <row r="57" spans="3:11" x14ac:dyDescent="0.2">
      <c r="C57" s="6">
        <v>2019</v>
      </c>
      <c r="D57" s="96">
        <v>662834.33499735559</v>
      </c>
      <c r="E57" s="96">
        <v>542333.30878348078</v>
      </c>
      <c r="F57" s="96">
        <v>811557.45307060238</v>
      </c>
      <c r="G57" s="96">
        <v>643030.46987658774</v>
      </c>
      <c r="H57" s="96">
        <v>412660.48154741159</v>
      </c>
      <c r="I57" s="96">
        <v>611292.93290516513</v>
      </c>
    </row>
    <row r="58" spans="3:11" x14ac:dyDescent="0.2">
      <c r="C58" s="6">
        <v>2020</v>
      </c>
      <c r="D58" s="96">
        <v>595153.5552537659</v>
      </c>
      <c r="E58" s="96"/>
      <c r="F58" s="96">
        <v>610098.94998613931</v>
      </c>
      <c r="G58" s="96">
        <v>615523.48561987805</v>
      </c>
      <c r="H58" s="96">
        <v>586228.40830955177</v>
      </c>
      <c r="I58" s="96">
        <v>603662.11100506072</v>
      </c>
    </row>
    <row r="59" spans="3:11" x14ac:dyDescent="0.2">
      <c r="C59" s="6">
        <v>2021</v>
      </c>
      <c r="D59" s="96">
        <v>593924.38935829338</v>
      </c>
      <c r="E59" s="96">
        <v>671290.25428004004</v>
      </c>
      <c r="F59" s="96">
        <v>596501.64968778007</v>
      </c>
      <c r="G59" s="96">
        <v>589642.13685891998</v>
      </c>
      <c r="H59" s="96">
        <v>232953.22239032001</v>
      </c>
      <c r="I59" s="96">
        <v>598316.36680250405</v>
      </c>
    </row>
    <row r="60" spans="3:11" x14ac:dyDescent="0.2">
      <c r="C60" s="6">
        <v>2022</v>
      </c>
      <c r="D60" s="96">
        <v>587505.34817560005</v>
      </c>
      <c r="E60" s="96">
        <v>332522.22625799995</v>
      </c>
      <c r="F60" s="96">
        <v>663563.45211700001</v>
      </c>
      <c r="G60" s="96">
        <v>1683267.3608623999</v>
      </c>
      <c r="H60" s="96"/>
      <c r="I60" s="96">
        <v>882687.29602541169</v>
      </c>
    </row>
    <row r="61" spans="3:11" x14ac:dyDescent="0.2">
      <c r="C61" s="6">
        <v>2023</v>
      </c>
      <c r="D61" s="96">
        <v>523554.28886666661</v>
      </c>
      <c r="E61" s="96">
        <v>705299.78655000008</v>
      </c>
      <c r="F61" s="96">
        <v>417435.73414999997</v>
      </c>
      <c r="G61" s="96"/>
      <c r="H61" s="96">
        <v>403304.83345555555</v>
      </c>
      <c r="I61" s="96">
        <v>465367.3380687501</v>
      </c>
      <c r="K61" s="20"/>
    </row>
    <row r="62" spans="3:11" x14ac:dyDescent="0.2">
      <c r="C62" s="6" t="s">
        <v>232</v>
      </c>
      <c r="D62" s="96">
        <v>590583.49804316065</v>
      </c>
      <c r="E62" s="96">
        <v>575993.98655816249</v>
      </c>
      <c r="F62" s="96">
        <v>636779.21310921689</v>
      </c>
      <c r="G62" s="96">
        <v>857385.58584398741</v>
      </c>
      <c r="H62" s="96">
        <v>469272.26988795237</v>
      </c>
      <c r="I62" s="96">
        <v>633619.28189276671</v>
      </c>
    </row>
    <row r="64" spans="3:11" x14ac:dyDescent="0.2">
      <c r="C64" s="22"/>
    </row>
    <row r="65" spans="3:9" ht="22" x14ac:dyDescent="0.3">
      <c r="C65" s="38" t="s">
        <v>193</v>
      </c>
    </row>
    <row r="66" spans="3:9" x14ac:dyDescent="0.2">
      <c r="C66" s="18" t="s">
        <v>194</v>
      </c>
    </row>
    <row r="67" spans="3:9" x14ac:dyDescent="0.2">
      <c r="C67" s="97" t="s">
        <v>237</v>
      </c>
      <c r="D67" s="97" t="s">
        <v>235</v>
      </c>
      <c r="I67" s="40"/>
    </row>
    <row r="68" spans="3:9" x14ac:dyDescent="0.2">
      <c r="C68" s="97" t="s">
        <v>231</v>
      </c>
      <c r="D68" t="s">
        <v>22</v>
      </c>
      <c r="E68" t="s">
        <v>12</v>
      </c>
      <c r="F68" t="s">
        <v>28</v>
      </c>
      <c r="G68" t="s">
        <v>17</v>
      </c>
      <c r="H68" t="s">
        <v>232</v>
      </c>
      <c r="I68" s="40"/>
    </row>
    <row r="69" spans="3:9" x14ac:dyDescent="0.2">
      <c r="C69" s="6">
        <v>2018</v>
      </c>
      <c r="D69" s="96">
        <v>687642.63876135601</v>
      </c>
      <c r="E69" s="96">
        <v>588919.62512759003</v>
      </c>
      <c r="F69" s="96">
        <v>713950.58527087432</v>
      </c>
      <c r="G69" s="96">
        <v>677967.65630054008</v>
      </c>
      <c r="H69" s="96">
        <v>647881.73322055652</v>
      </c>
      <c r="I69" s="40"/>
    </row>
    <row r="70" spans="3:9" x14ac:dyDescent="0.2">
      <c r="C70" s="6">
        <v>2019</v>
      </c>
      <c r="D70" s="96">
        <v>811557.45307060238</v>
      </c>
      <c r="E70" s="96">
        <v>474896.96036243986</v>
      </c>
      <c r="F70" s="96">
        <v>601437.92531516252</v>
      </c>
      <c r="G70" s="96">
        <v>608661.32624426542</v>
      </c>
      <c r="H70" s="96">
        <v>611292.93290516536</v>
      </c>
      <c r="I70" s="40"/>
    </row>
    <row r="71" spans="3:9" x14ac:dyDescent="0.2">
      <c r="C71" s="6">
        <v>2020</v>
      </c>
      <c r="D71" s="96">
        <v>544775.19780457718</v>
      </c>
      <c r="E71" s="96">
        <v>586228.40830955177</v>
      </c>
      <c r="F71" s="96">
        <v>615523.48561987805</v>
      </c>
      <c r="G71" s="96">
        <v>670552.97892516572</v>
      </c>
      <c r="H71" s="96">
        <v>603662.11100506072</v>
      </c>
      <c r="I71" s="40"/>
    </row>
    <row r="72" spans="3:9" x14ac:dyDescent="0.2">
      <c r="C72" s="6">
        <v>2021</v>
      </c>
      <c r="D72" s="96">
        <v>596501.64968778007</v>
      </c>
      <c r="E72" s="96">
        <v>543764.83256288001</v>
      </c>
      <c r="F72" s="96">
        <v>638225.66323368798</v>
      </c>
      <c r="G72" s="96">
        <v>589073.63955608453</v>
      </c>
      <c r="H72" s="96">
        <v>598316.36680250394</v>
      </c>
      <c r="I72" s="40"/>
    </row>
    <row r="73" spans="3:9" x14ac:dyDescent="0.2">
      <c r="C73" s="6">
        <v>2022</v>
      </c>
      <c r="D73" s="96">
        <v>663563.45211700001</v>
      </c>
      <c r="E73" s="96">
        <v>543019.62462399993</v>
      </c>
      <c r="F73" s="96">
        <v>1683267.3608623999</v>
      </c>
      <c r="G73" s="96">
        <v>474842.36173400003</v>
      </c>
      <c r="H73" s="96">
        <v>882687.29602541158</v>
      </c>
      <c r="I73" s="40"/>
    </row>
    <row r="74" spans="3:9" x14ac:dyDescent="0.2">
      <c r="C74" s="6">
        <v>2023</v>
      </c>
      <c r="D74" s="96">
        <v>417435.73414999997</v>
      </c>
      <c r="E74" s="96">
        <v>442309.17141250003</v>
      </c>
      <c r="F74" s="96"/>
      <c r="G74" s="96">
        <v>512088.76158333337</v>
      </c>
      <c r="H74" s="96">
        <v>465367.3380687501</v>
      </c>
      <c r="I74" s="40"/>
    </row>
    <row r="75" spans="3:9" x14ac:dyDescent="0.2">
      <c r="C75" s="6" t="s">
        <v>232</v>
      </c>
      <c r="D75" s="96">
        <v>616844.79519433831</v>
      </c>
      <c r="E75" s="96">
        <v>509825.819676632</v>
      </c>
      <c r="F75" s="96">
        <v>877157.5390824395</v>
      </c>
      <c r="G75" s="96">
        <v>578911.00905433705</v>
      </c>
      <c r="H75" s="96">
        <v>633619.28189276671</v>
      </c>
      <c r="I75" s="40"/>
    </row>
    <row r="77" spans="3:9" x14ac:dyDescent="0.2">
      <c r="C77" s="18" t="s">
        <v>195</v>
      </c>
    </row>
    <row r="78" spans="3:9" x14ac:dyDescent="0.2">
      <c r="C78" s="97" t="s">
        <v>238</v>
      </c>
      <c r="D78" s="97" t="s">
        <v>235</v>
      </c>
      <c r="I78" s="40"/>
    </row>
    <row r="79" spans="3:9" x14ac:dyDescent="0.2">
      <c r="C79" s="97" t="s">
        <v>231</v>
      </c>
      <c r="D79" t="s">
        <v>22</v>
      </c>
      <c r="E79" t="s">
        <v>12</v>
      </c>
      <c r="F79" t="s">
        <v>28</v>
      </c>
      <c r="G79" t="s">
        <v>17</v>
      </c>
      <c r="H79" t="s">
        <v>232</v>
      </c>
      <c r="I79" s="40"/>
    </row>
    <row r="80" spans="3:9" x14ac:dyDescent="0.2">
      <c r="C80" s="6">
        <v>2018</v>
      </c>
      <c r="D80" s="98">
        <v>2</v>
      </c>
      <c r="E80" s="98">
        <v>4</v>
      </c>
      <c r="F80" s="98">
        <v>1</v>
      </c>
      <c r="G80" s="98">
        <v>3</v>
      </c>
      <c r="H80" s="98">
        <v>10</v>
      </c>
      <c r="I80" s="40"/>
    </row>
    <row r="81" spans="3:9" x14ac:dyDescent="0.2">
      <c r="C81" s="6">
        <v>2019</v>
      </c>
      <c r="D81" s="98">
        <v>3</v>
      </c>
      <c r="E81" s="98">
        <v>4</v>
      </c>
      <c r="F81" s="98">
        <v>4</v>
      </c>
      <c r="G81" s="98">
        <v>6</v>
      </c>
      <c r="H81" s="98">
        <v>17</v>
      </c>
      <c r="I81" s="40"/>
    </row>
    <row r="82" spans="3:9" x14ac:dyDescent="0.2">
      <c r="C82" s="6">
        <v>2020</v>
      </c>
      <c r="D82" s="98">
        <v>6</v>
      </c>
      <c r="E82" s="98">
        <v>3</v>
      </c>
      <c r="F82" s="98">
        <v>6</v>
      </c>
      <c r="G82" s="98">
        <v>5</v>
      </c>
      <c r="H82" s="98">
        <v>20</v>
      </c>
      <c r="I82" s="40"/>
    </row>
    <row r="83" spans="3:9" x14ac:dyDescent="0.2">
      <c r="C83" s="6">
        <v>2021</v>
      </c>
      <c r="D83" s="98">
        <v>4</v>
      </c>
      <c r="E83" s="98">
        <v>2</v>
      </c>
      <c r="F83" s="98">
        <v>5</v>
      </c>
      <c r="G83" s="98">
        <v>9</v>
      </c>
      <c r="H83" s="98">
        <v>20</v>
      </c>
      <c r="I83" s="40"/>
    </row>
    <row r="84" spans="3:9" x14ac:dyDescent="0.2">
      <c r="C84" s="6">
        <v>2022</v>
      </c>
      <c r="D84" s="98">
        <v>4</v>
      </c>
      <c r="E84" s="98">
        <v>2</v>
      </c>
      <c r="F84" s="98">
        <v>5</v>
      </c>
      <c r="G84" s="98">
        <v>6</v>
      </c>
      <c r="H84" s="98">
        <v>17</v>
      </c>
      <c r="I84" s="40"/>
    </row>
    <row r="85" spans="3:9" x14ac:dyDescent="0.2">
      <c r="C85" s="6">
        <v>2023</v>
      </c>
      <c r="D85" s="98">
        <v>2</v>
      </c>
      <c r="E85" s="98">
        <v>8</v>
      </c>
      <c r="F85" s="98"/>
      <c r="G85" s="98">
        <v>6</v>
      </c>
      <c r="H85" s="98">
        <v>16</v>
      </c>
      <c r="I85" s="40"/>
    </row>
    <row r="86" spans="3:9" x14ac:dyDescent="0.2">
      <c r="C86" s="6" t="s">
        <v>232</v>
      </c>
      <c r="D86" s="98">
        <v>21</v>
      </c>
      <c r="E86" s="98">
        <v>23</v>
      </c>
      <c r="F86" s="98">
        <v>21</v>
      </c>
      <c r="G86" s="98">
        <v>35</v>
      </c>
      <c r="H86" s="98">
        <v>100</v>
      </c>
      <c r="I86" s="40"/>
    </row>
    <row r="88" spans="3:9" x14ac:dyDescent="0.2">
      <c r="C88" s="18" t="s">
        <v>196</v>
      </c>
    </row>
    <row r="89" spans="3:9" x14ac:dyDescent="0.2">
      <c r="C89" s="97" t="s">
        <v>237</v>
      </c>
      <c r="D89" s="97" t="s">
        <v>235</v>
      </c>
      <c r="I89" s="40"/>
    </row>
    <row r="90" spans="3:9" x14ac:dyDescent="0.2">
      <c r="C90" s="97" t="s">
        <v>231</v>
      </c>
      <c r="D90" t="s">
        <v>22</v>
      </c>
      <c r="E90" t="s">
        <v>12</v>
      </c>
      <c r="F90" t="s">
        <v>28</v>
      </c>
      <c r="G90" t="s">
        <v>17</v>
      </c>
      <c r="H90" t="s">
        <v>232</v>
      </c>
      <c r="I90" s="40"/>
    </row>
    <row r="91" spans="3:9" x14ac:dyDescent="0.2">
      <c r="C91" s="6">
        <v>2018</v>
      </c>
      <c r="D91" s="96">
        <v>687642.63876135601</v>
      </c>
      <c r="E91" s="96">
        <v>588919.62512759003</v>
      </c>
      <c r="F91" s="96">
        <v>713950.58527087432</v>
      </c>
      <c r="G91" s="96">
        <v>677967.65630054008</v>
      </c>
      <c r="H91" s="96">
        <v>647881.73322055652</v>
      </c>
      <c r="I91" s="40"/>
    </row>
    <row r="92" spans="3:9" x14ac:dyDescent="0.2">
      <c r="C92" s="6">
        <v>2019</v>
      </c>
      <c r="D92" s="96">
        <v>811557.45307060238</v>
      </c>
      <c r="E92" s="96">
        <v>474896.96036243986</v>
      </c>
      <c r="F92" s="96">
        <v>601437.92531516252</v>
      </c>
      <c r="G92" s="96">
        <v>608661.32624426542</v>
      </c>
      <c r="H92" s="96">
        <v>611292.93290516536</v>
      </c>
      <c r="I92" s="40"/>
    </row>
    <row r="93" spans="3:9" x14ac:dyDescent="0.2">
      <c r="C93" s="6">
        <v>2020</v>
      </c>
      <c r="D93" s="96">
        <v>544775.19780457718</v>
      </c>
      <c r="E93" s="96">
        <v>586228.40830955177</v>
      </c>
      <c r="F93" s="96">
        <v>615523.48561987805</v>
      </c>
      <c r="G93" s="96">
        <v>670552.97892516572</v>
      </c>
      <c r="H93" s="96">
        <v>603662.11100506072</v>
      </c>
      <c r="I93" s="40"/>
    </row>
    <row r="94" spans="3:9" x14ac:dyDescent="0.2">
      <c r="C94" s="6">
        <v>2021</v>
      </c>
      <c r="D94" s="96">
        <v>596501.64968778007</v>
      </c>
      <c r="E94" s="96">
        <v>543764.83256288001</v>
      </c>
      <c r="F94" s="96">
        <v>638225.66323368798</v>
      </c>
      <c r="G94" s="96">
        <v>589073.63955608453</v>
      </c>
      <c r="H94" s="96">
        <v>598316.36680250394</v>
      </c>
      <c r="I94" s="40"/>
    </row>
    <row r="95" spans="3:9" x14ac:dyDescent="0.2">
      <c r="C95" s="6">
        <v>2022</v>
      </c>
      <c r="D95" s="96">
        <v>663563.45211700001</v>
      </c>
      <c r="E95" s="96">
        <v>543019.62462399993</v>
      </c>
      <c r="F95" s="96">
        <v>1683267.3608623999</v>
      </c>
      <c r="G95" s="96">
        <v>474842.36173400003</v>
      </c>
      <c r="H95" s="96">
        <v>882687.29602541158</v>
      </c>
      <c r="I95" s="40"/>
    </row>
    <row r="96" spans="3:9" x14ac:dyDescent="0.2">
      <c r="C96" s="6">
        <v>2023</v>
      </c>
      <c r="D96" s="96">
        <v>417435.73414999997</v>
      </c>
      <c r="E96" s="96">
        <v>442309.17141250003</v>
      </c>
      <c r="F96" s="96"/>
      <c r="G96" s="96">
        <v>512088.76158333337</v>
      </c>
      <c r="H96" s="96">
        <v>465367.3380687501</v>
      </c>
      <c r="I96" s="40"/>
    </row>
    <row r="97" spans="3:9" x14ac:dyDescent="0.2">
      <c r="C97" s="6" t="s">
        <v>232</v>
      </c>
      <c r="D97" s="96">
        <v>616844.79519433831</v>
      </c>
      <c r="E97" s="96">
        <v>509825.819676632</v>
      </c>
      <c r="F97" s="96">
        <v>877157.5390824395</v>
      </c>
      <c r="G97" s="96">
        <v>578911.00905433705</v>
      </c>
      <c r="H97" s="96">
        <v>633619.28189276671</v>
      </c>
      <c r="I97" s="40"/>
    </row>
    <row r="102" spans="3:9" x14ac:dyDescent="0.2">
      <c r="C102" s="22"/>
    </row>
    <row r="128" spans="3:3" x14ac:dyDescent="0.2">
      <c r="C128" s="20" t="s">
        <v>157</v>
      </c>
    </row>
  </sheetData>
  <mergeCells count="3">
    <mergeCell ref="K40:M40"/>
    <mergeCell ref="K41:M41"/>
    <mergeCell ref="K39:M39"/>
  </mergeCells>
  <pageMargins left="0.7" right="0.7" top="0.75" bottom="0.75" header="0.3" footer="0.3"/>
  <pageSetup paperSize="9" orientation="portrait" verticalDpi="0" r:id="rId11"/>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AF4A3-EC7C-3348-977E-44D82B5A3750}">
  <dimension ref="A1:N69"/>
  <sheetViews>
    <sheetView zoomScaleNormal="100" workbookViewId="0">
      <selection activeCell="H65" sqref="H65"/>
    </sheetView>
  </sheetViews>
  <sheetFormatPr baseColWidth="10" defaultColWidth="10.6640625" defaultRowHeight="16" x14ac:dyDescent="0.2"/>
  <cols>
    <col min="2" max="2" width="40.6640625" customWidth="1"/>
    <col min="3" max="3" width="37.33203125" bestFit="1" customWidth="1"/>
    <col min="4" max="4" width="18.1640625" customWidth="1"/>
    <col min="5" max="5" width="12.33203125" customWidth="1"/>
    <col min="7" max="7" width="31.6640625" style="6" customWidth="1"/>
    <col min="8" max="11" width="25.5" customWidth="1"/>
    <col min="12" max="12" width="19.1640625" customWidth="1"/>
    <col min="14" max="14" width="23.33203125" customWidth="1"/>
    <col min="111" max="111" width="7" bestFit="1" customWidth="1"/>
    <col min="112" max="112" width="10.5" bestFit="1" customWidth="1"/>
  </cols>
  <sheetData>
    <row r="1" spans="2:11" x14ac:dyDescent="0.2">
      <c r="G1" s="18" t="s">
        <v>214</v>
      </c>
      <c r="H1" s="10"/>
      <c r="I1" s="11"/>
    </row>
    <row r="2" spans="2:11" ht="17.5" customHeight="1" x14ac:dyDescent="0.25">
      <c r="B2" s="4" t="s">
        <v>148</v>
      </c>
      <c r="G2" s="91">
        <v>1</v>
      </c>
      <c r="H2" s="92" t="s">
        <v>221</v>
      </c>
      <c r="I2" s="92"/>
      <c r="J2" s="92"/>
      <c r="K2" s="92"/>
    </row>
    <row r="3" spans="2:11" ht="20" thickBot="1" x14ac:dyDescent="0.3">
      <c r="B3" s="4"/>
      <c r="G3" s="91"/>
      <c r="H3" s="92"/>
      <c r="I3" s="92"/>
      <c r="J3" s="92"/>
      <c r="K3" s="92"/>
    </row>
    <row r="4" spans="2:11" ht="17" thickBot="1" x14ac:dyDescent="0.25">
      <c r="D4" s="47" t="s">
        <v>203</v>
      </c>
      <c r="E4" s="48" t="s">
        <v>204</v>
      </c>
      <c r="G4" s="49" t="s">
        <v>170</v>
      </c>
      <c r="H4" s="32" t="s">
        <v>177</v>
      </c>
      <c r="I4" s="32" t="s">
        <v>171</v>
      </c>
      <c r="J4" s="58" t="s">
        <v>175</v>
      </c>
      <c r="K4" s="2"/>
    </row>
    <row r="5" spans="2:11" x14ac:dyDescent="0.2">
      <c r="B5" s="44">
        <v>2018</v>
      </c>
      <c r="C5" s="32" t="s">
        <v>149</v>
      </c>
      <c r="D5" s="33">
        <v>1.08</v>
      </c>
      <c r="E5" s="34">
        <f t="shared" ref="E5:E10" si="0">E6*D6</f>
        <v>1.2053063131200001</v>
      </c>
      <c r="G5" s="51">
        <v>2018</v>
      </c>
      <c r="H5" s="55">
        <f t="shared" ref="H5:H10" si="1">C15</f>
        <v>45000000</v>
      </c>
      <c r="I5" s="99">
        <f>COUNTIFS('Claims Data'!$D$2:$D$101, "&lt;1000000",'Claims Data'!$S$2:$S$101,'Pure Premium Work'!G5)</f>
        <v>10</v>
      </c>
      <c r="J5" s="100">
        <f>I5/H5</f>
        <v>2.2222222222222222E-7</v>
      </c>
    </row>
    <row r="6" spans="2:11" x14ac:dyDescent="0.2">
      <c r="B6" s="45">
        <v>2019</v>
      </c>
      <c r="C6" t="s">
        <v>150</v>
      </c>
      <c r="D6">
        <v>1.05</v>
      </c>
      <c r="E6" s="35">
        <f t="shared" si="0"/>
        <v>1.1479107744000001</v>
      </c>
      <c r="G6" s="51">
        <f>G5+1</f>
        <v>2019</v>
      </c>
      <c r="H6" s="55">
        <f t="shared" si="1"/>
        <v>49000000</v>
      </c>
      <c r="I6" s="99">
        <f>COUNTIFS('Claims Data'!$D$2:$D$101, "&lt;1000000",'Claims Data'!$S$2:$S$101,'Pure Premium Work'!G6)</f>
        <v>17</v>
      </c>
      <c r="J6" s="100">
        <f t="shared" ref="J6:J10" si="2">I6/H6</f>
        <v>3.4693877551020406E-7</v>
      </c>
      <c r="K6" s="2"/>
    </row>
    <row r="7" spans="2:11" x14ac:dyDescent="0.2">
      <c r="B7" s="45">
        <v>2020</v>
      </c>
      <c r="C7" t="s">
        <v>151</v>
      </c>
      <c r="D7">
        <v>1.04</v>
      </c>
      <c r="E7" s="35">
        <f t="shared" si="0"/>
        <v>1.1037603600000001</v>
      </c>
      <c r="G7" s="51">
        <f>G6+1</f>
        <v>2020</v>
      </c>
      <c r="H7" s="55">
        <f t="shared" si="1"/>
        <v>41750000</v>
      </c>
      <c r="I7" s="99">
        <f>COUNTIFS('Claims Data'!$D$2:$D$101, "&lt;1000000",'Claims Data'!$S$2:$S$101,'Pure Premium Work'!G7)</f>
        <v>20</v>
      </c>
      <c r="J7" s="100">
        <f t="shared" si="2"/>
        <v>4.7904191616766466E-7</v>
      </c>
    </row>
    <row r="8" spans="2:11" x14ac:dyDescent="0.2">
      <c r="B8" s="45">
        <v>2021</v>
      </c>
      <c r="C8" t="s">
        <v>152</v>
      </c>
      <c r="D8">
        <v>1.03</v>
      </c>
      <c r="E8" s="35">
        <f t="shared" si="0"/>
        <v>1.071612</v>
      </c>
      <c r="G8" s="51">
        <f>G7+1</f>
        <v>2021</v>
      </c>
      <c r="H8" s="55">
        <f t="shared" si="1"/>
        <v>41500000</v>
      </c>
      <c r="I8" s="99">
        <f>COUNTIFS('Claims Data'!$D$2:$D$101, "&lt;1000000",'Claims Data'!$S$2:$S$101,'Pure Premium Work'!G8)</f>
        <v>20</v>
      </c>
      <c r="J8" s="100">
        <f t="shared" si="2"/>
        <v>4.8192771084337348E-7</v>
      </c>
    </row>
    <row r="9" spans="2:11" x14ac:dyDescent="0.2">
      <c r="B9" s="45">
        <v>2022</v>
      </c>
      <c r="C9" t="s">
        <v>153</v>
      </c>
      <c r="D9">
        <v>1.02</v>
      </c>
      <c r="E9" s="35">
        <f t="shared" si="0"/>
        <v>1.0506</v>
      </c>
      <c r="G9" s="51">
        <f>G8+1</f>
        <v>2022</v>
      </c>
      <c r="H9" s="55">
        <f t="shared" si="1"/>
        <v>43590000</v>
      </c>
      <c r="I9" s="99">
        <f>COUNTIFS('Claims Data'!$D$2:$D$101, "&lt;1000000",'Claims Data'!$S$2:$S$101,'Pure Premium Work'!G9)</f>
        <v>16</v>
      </c>
      <c r="J9" s="100">
        <f t="shared" si="2"/>
        <v>3.6705666437256249E-7</v>
      </c>
      <c r="K9" s="7"/>
    </row>
    <row r="10" spans="2:11" ht="17" thickBot="1" x14ac:dyDescent="0.25">
      <c r="B10" s="45">
        <v>2023</v>
      </c>
      <c r="C10" t="s">
        <v>153</v>
      </c>
      <c r="D10">
        <v>1.02</v>
      </c>
      <c r="E10" s="35">
        <f t="shared" si="0"/>
        <v>1.03</v>
      </c>
      <c r="G10" s="53">
        <f>G9+1</f>
        <v>2023</v>
      </c>
      <c r="H10" s="61">
        <f t="shared" si="1"/>
        <v>44750000</v>
      </c>
      <c r="I10" s="99">
        <f>COUNTIFS('Claims Data'!$D$2:$D$101, "&lt;1000000",'Claims Data'!$S$2:$S$101,'Pure Premium Work'!G10)</f>
        <v>16</v>
      </c>
      <c r="J10" s="100">
        <f t="shared" si="2"/>
        <v>3.5754189944134076E-7</v>
      </c>
    </row>
    <row r="11" spans="2:11" ht="17" customHeight="1" thickBot="1" x14ac:dyDescent="0.25">
      <c r="B11" s="46">
        <v>2024</v>
      </c>
      <c r="C11" s="36" t="s">
        <v>169</v>
      </c>
      <c r="D11" s="36">
        <v>1.03</v>
      </c>
      <c r="E11" s="37">
        <v>1</v>
      </c>
    </row>
    <row r="12" spans="2:11" ht="17" customHeight="1" x14ac:dyDescent="0.2">
      <c r="B12" s="5"/>
      <c r="G12" s="2" t="s">
        <v>213</v>
      </c>
    </row>
    <row r="13" spans="2:11" ht="17" customHeight="1" thickBot="1" x14ac:dyDescent="0.25">
      <c r="B13" s="2" t="s">
        <v>205</v>
      </c>
      <c r="G13" s="91">
        <v>2</v>
      </c>
      <c r="H13" s="94" t="s">
        <v>222</v>
      </c>
      <c r="I13" s="94"/>
      <c r="J13" s="94"/>
      <c r="K13" s="94"/>
    </row>
    <row r="14" spans="2:11" ht="17" customHeight="1" x14ac:dyDescent="0.2">
      <c r="B14" s="49" t="s">
        <v>170</v>
      </c>
      <c r="C14" s="50" t="s">
        <v>206</v>
      </c>
      <c r="G14" s="91"/>
      <c r="H14" s="94"/>
      <c r="I14" s="94"/>
      <c r="J14" s="94"/>
      <c r="K14" s="94"/>
    </row>
    <row r="15" spans="2:11" ht="17" customHeight="1" x14ac:dyDescent="0.2">
      <c r="B15" s="51">
        <v>2018</v>
      </c>
      <c r="C15" s="52">
        <f>45000000</f>
        <v>45000000</v>
      </c>
      <c r="G15" s="91"/>
      <c r="H15" s="94"/>
      <c r="I15" s="94"/>
      <c r="J15" s="94"/>
      <c r="K15" s="94"/>
    </row>
    <row r="16" spans="2:11" ht="17" customHeight="1" thickBot="1" x14ac:dyDescent="0.25">
      <c r="B16" s="51">
        <f>B15+1</f>
        <v>2019</v>
      </c>
      <c r="C16" s="52">
        <v>49000000</v>
      </c>
      <c r="G16" s="91"/>
      <c r="H16" s="94"/>
      <c r="I16" s="94"/>
      <c r="J16" s="94"/>
      <c r="K16" s="94"/>
    </row>
    <row r="17" spans="2:11" ht="17" customHeight="1" x14ac:dyDescent="0.2">
      <c r="B17" s="51">
        <f>B16+1</f>
        <v>2020</v>
      </c>
      <c r="C17" s="52">
        <v>41750000</v>
      </c>
      <c r="G17" s="49" t="s">
        <v>170</v>
      </c>
      <c r="H17" s="32" t="s">
        <v>242</v>
      </c>
      <c r="I17" s="32" t="s">
        <v>171</v>
      </c>
      <c r="J17" s="58" t="s">
        <v>243</v>
      </c>
    </row>
    <row r="18" spans="2:11" ht="17" customHeight="1" x14ac:dyDescent="0.2">
      <c r="B18" s="51">
        <f>B17+1</f>
        <v>2021</v>
      </c>
      <c r="C18" s="52">
        <v>41500000</v>
      </c>
      <c r="G18" s="51">
        <v>2018</v>
      </c>
      <c r="H18" s="55">
        <f>SUMIFS('Claims Data'!$Q$2:$Q$101,'Claims Data'!$Q$2:$Q$101,"&lt;1000000",'Claims Data'!$S$2:$S$101,'Pure Premium Work'!G18)</f>
        <v>6428231.5625042599</v>
      </c>
      <c r="I18" s="55">
        <f>COUNTIFS('Claims Data'!$Q$2:$Q$101,"&lt;1000000",'Claims Data'!$S$2:$S$101,'Pure Premium Work'!G18)</f>
        <v>10</v>
      </c>
      <c r="J18" s="101">
        <f>H18/I18</f>
        <v>642823.15625042596</v>
      </c>
    </row>
    <row r="19" spans="2:11" ht="17" customHeight="1" x14ac:dyDescent="0.2">
      <c r="B19" s="51">
        <f>B18+1</f>
        <v>2022</v>
      </c>
      <c r="C19" s="52">
        <v>43590000</v>
      </c>
      <c r="G19" s="51">
        <f>G18+1</f>
        <v>2019</v>
      </c>
      <c r="H19" s="55">
        <f>SUMIFS('Claims Data'!$Q$2:$Q$101,'Claims Data'!$Q$2:$Q$101,"&lt;1000000",'Claims Data'!$S$2:$S$101,'Pure Premium Work'!G19)</f>
        <v>10365188.910996957</v>
      </c>
      <c r="I19" s="55">
        <f>COUNTIFS('Claims Data'!$Q$2:$Q$101,"&lt;1000000",'Claims Data'!$S$2:$S$101,'Pure Premium Work'!G19)</f>
        <v>17</v>
      </c>
      <c r="J19" s="101">
        <f t="shared" ref="J19:J23" si="3">H19/I19</f>
        <v>609716.99476452684</v>
      </c>
    </row>
    <row r="20" spans="2:11" ht="17" customHeight="1" thickBot="1" x14ac:dyDescent="0.25">
      <c r="B20" s="53">
        <f>B19+1</f>
        <v>2023</v>
      </c>
      <c r="C20" s="54">
        <v>44750000</v>
      </c>
      <c r="G20" s="51">
        <f t="shared" ref="G20:G23" si="4">G19+1</f>
        <v>2020</v>
      </c>
      <c r="H20" s="55">
        <f>SUMIFS('Claims Data'!$Q$2:$Q$101,'Claims Data'!$Q$2:$Q$101,"&lt;1000000",'Claims Data'!$S$2:$S$101,'Pure Premium Work'!G20)</f>
        <v>12073242.220101215</v>
      </c>
      <c r="I20" s="55">
        <f>COUNTIFS('Claims Data'!$Q$2:$Q$101,"&lt;1000000",'Claims Data'!$S$2:$S$101,'Pure Premium Work'!G20)</f>
        <v>20</v>
      </c>
      <c r="J20" s="101">
        <f t="shared" si="3"/>
        <v>603662.11100506072</v>
      </c>
    </row>
    <row r="21" spans="2:11" ht="17" customHeight="1" thickBot="1" x14ac:dyDescent="0.25">
      <c r="B21" s="18"/>
      <c r="C21" s="55"/>
      <c r="G21" s="51">
        <f t="shared" si="4"/>
        <v>2021</v>
      </c>
      <c r="H21" s="55">
        <f>SUMIFS('Claims Data'!$Q$2:$Q$101,'Claims Data'!$Q$2:$Q$101,"&lt;1000000",'Claims Data'!$S$2:$S$101,'Pure Premium Work'!G21)</f>
        <v>11966327.33605008</v>
      </c>
      <c r="I21" s="55">
        <f>COUNTIFS('Claims Data'!$Q$2:$Q$101,"&lt;1000000",'Claims Data'!$S$2:$S$101,'Pure Premium Work'!G21)</f>
        <v>20</v>
      </c>
      <c r="J21" s="101">
        <f t="shared" si="3"/>
        <v>598316.36680250405</v>
      </c>
    </row>
    <row r="22" spans="2:11" ht="17" customHeight="1" thickBot="1" x14ac:dyDescent="0.25">
      <c r="B22" s="56" t="s">
        <v>207</v>
      </c>
      <c r="C22" s="57">
        <v>40000000</v>
      </c>
      <c r="G22" s="51">
        <f t="shared" si="4"/>
        <v>2022</v>
      </c>
      <c r="H22" s="55">
        <f>SUMIFS('Claims Data'!$Q$2:$Q$101,'Claims Data'!$Q$2:$Q$101,"&lt;1000000",'Claims Data'!$S$2:$S$101,'Pure Premium Work'!G22)</f>
        <v>9751736.6086579971</v>
      </c>
      <c r="I22" s="55">
        <f>COUNTIFS('Claims Data'!$Q$2:$Q$101,"&lt;1000000",'Claims Data'!$S$2:$S$101,'Pure Premium Work'!G22)</f>
        <v>16</v>
      </c>
      <c r="J22" s="101">
        <f t="shared" si="3"/>
        <v>609483.53804112482</v>
      </c>
    </row>
    <row r="23" spans="2:11" ht="17" customHeight="1" thickBot="1" x14ac:dyDescent="0.25">
      <c r="B23" s="5"/>
      <c r="G23" s="53">
        <f t="shared" si="4"/>
        <v>2023</v>
      </c>
      <c r="H23" s="55">
        <f>SUMIFS('Claims Data'!$Q$2:$Q$101,'Claims Data'!$Q$2:$Q$101,"&lt;1000000",'Claims Data'!$S$2:$S$101,'Pure Premium Work'!G23)</f>
        <v>7445877.4091000007</v>
      </c>
      <c r="I23" s="55">
        <f>COUNTIFS('Claims Data'!$Q$2:$Q$101,"&lt;1000000",'Claims Data'!$S$2:$S$101,'Pure Premium Work'!G23)</f>
        <v>16</v>
      </c>
      <c r="J23" s="101">
        <f t="shared" si="3"/>
        <v>465367.33806875005</v>
      </c>
    </row>
    <row r="24" spans="2:11" ht="17" customHeight="1" x14ac:dyDescent="0.2">
      <c r="B24" s="23"/>
      <c r="C24" s="42" t="s">
        <v>178</v>
      </c>
      <c r="D24" s="23"/>
      <c r="G24" s="62"/>
      <c r="H24" s="62"/>
      <c r="I24" s="62"/>
      <c r="J24" s="62"/>
    </row>
    <row r="25" spans="2:11" ht="17" customHeight="1" x14ac:dyDescent="0.2">
      <c r="B25" s="23">
        <v>1</v>
      </c>
      <c r="C25" s="23" t="s">
        <v>179</v>
      </c>
      <c r="D25" s="23"/>
    </row>
    <row r="26" spans="2:11" ht="17" customHeight="1" x14ac:dyDescent="0.2">
      <c r="B26" s="23">
        <v>2</v>
      </c>
      <c r="C26" s="23" t="s">
        <v>180</v>
      </c>
      <c r="D26" s="23"/>
    </row>
    <row r="27" spans="2:11" ht="17" customHeight="1" x14ac:dyDescent="0.2">
      <c r="B27" s="23">
        <v>3</v>
      </c>
      <c r="C27" s="23" t="s">
        <v>208</v>
      </c>
      <c r="D27" s="23"/>
      <c r="G27" s="18" t="s">
        <v>216</v>
      </c>
    </row>
    <row r="28" spans="2:11" ht="17" customHeight="1" x14ac:dyDescent="0.2">
      <c r="B28" s="23">
        <v>4</v>
      </c>
      <c r="C28" s="23" t="s">
        <v>181</v>
      </c>
      <c r="D28" s="23"/>
      <c r="G28" s="91">
        <v>3</v>
      </c>
      <c r="H28" s="90" t="s">
        <v>223</v>
      </c>
      <c r="I28" s="90"/>
      <c r="J28" s="90"/>
      <c r="K28" s="90"/>
    </row>
    <row r="29" spans="2:11" ht="17" customHeight="1" thickBot="1" x14ac:dyDescent="0.25">
      <c r="B29" s="23">
        <v>5</v>
      </c>
      <c r="C29" s="23" t="s">
        <v>209</v>
      </c>
      <c r="D29" s="23"/>
      <c r="G29" s="93"/>
      <c r="H29" s="90"/>
      <c r="I29" s="90"/>
      <c r="J29" s="90"/>
      <c r="K29" s="90"/>
    </row>
    <row r="30" spans="2:11" ht="17" customHeight="1" x14ac:dyDescent="0.2">
      <c r="B30" s="23">
        <v>6</v>
      </c>
      <c r="C30" s="23" t="s">
        <v>210</v>
      </c>
      <c r="D30" s="23"/>
      <c r="G30" s="49" t="s">
        <v>174</v>
      </c>
      <c r="H30" s="63" t="s">
        <v>215</v>
      </c>
      <c r="I30" s="63" t="s">
        <v>175</v>
      </c>
      <c r="J30" s="64" t="s">
        <v>176</v>
      </c>
    </row>
    <row r="31" spans="2:11" ht="17" customHeight="1" x14ac:dyDescent="0.2">
      <c r="B31" s="23">
        <v>7</v>
      </c>
      <c r="C31" s="23" t="s">
        <v>211</v>
      </c>
      <c r="D31" s="23"/>
      <c r="G31" s="59">
        <v>2018</v>
      </c>
      <c r="H31" s="65">
        <f>J18</f>
        <v>642823.15625042596</v>
      </c>
      <c r="I31" s="66">
        <f>J5</f>
        <v>2.2222222222222222E-7</v>
      </c>
      <c r="J31" s="67">
        <f>H31*I31</f>
        <v>0.14284959027787245</v>
      </c>
    </row>
    <row r="32" spans="2:11" ht="17" customHeight="1" x14ac:dyDescent="0.2">
      <c r="B32" s="23">
        <v>8</v>
      </c>
      <c r="C32" s="23" t="s">
        <v>212</v>
      </c>
      <c r="D32" s="23"/>
      <c r="G32" s="59">
        <v>2019</v>
      </c>
      <c r="H32" s="65">
        <f t="shared" ref="H32:H36" si="5">J19</f>
        <v>609716.99476452684</v>
      </c>
      <c r="I32" s="66">
        <f t="shared" ref="I32:I36" si="6">J6</f>
        <v>3.4693877551020406E-7</v>
      </c>
      <c r="J32" s="67">
        <f t="shared" ref="J32:J36" si="7">H32*I32</f>
        <v>0.21153446757136643</v>
      </c>
    </row>
    <row r="33" spans="1:11" ht="17" customHeight="1" x14ac:dyDescent="0.2">
      <c r="B33" s="5"/>
      <c r="G33" s="59">
        <v>2020</v>
      </c>
      <c r="H33" s="65">
        <f t="shared" si="5"/>
        <v>603662.11100506072</v>
      </c>
      <c r="I33" s="66">
        <f t="shared" si="6"/>
        <v>4.7904191616766466E-7</v>
      </c>
      <c r="J33" s="67">
        <f t="shared" si="7"/>
        <v>0.28917945437368175</v>
      </c>
    </row>
    <row r="34" spans="1:11" x14ac:dyDescent="0.2">
      <c r="G34" s="59">
        <v>2021</v>
      </c>
      <c r="H34" s="65">
        <f t="shared" si="5"/>
        <v>598316.36680250405</v>
      </c>
      <c r="I34" s="66">
        <f t="shared" si="6"/>
        <v>4.8192771084337348E-7</v>
      </c>
      <c r="J34" s="67">
        <f t="shared" si="7"/>
        <v>0.28834523701325498</v>
      </c>
    </row>
    <row r="35" spans="1:11" ht="15" customHeight="1" x14ac:dyDescent="0.2">
      <c r="C35" s="9"/>
      <c r="E35" s="12"/>
      <c r="G35" s="59">
        <v>2022</v>
      </c>
      <c r="H35" s="65">
        <f t="shared" si="5"/>
        <v>609483.53804112482</v>
      </c>
      <c r="I35" s="66">
        <f t="shared" si="6"/>
        <v>3.6705666437256249E-7</v>
      </c>
      <c r="J35" s="67">
        <f t="shared" si="7"/>
        <v>0.22371499446336307</v>
      </c>
    </row>
    <row r="36" spans="1:11" ht="17" thickBot="1" x14ac:dyDescent="0.25">
      <c r="E36" s="12"/>
      <c r="G36" s="60">
        <v>2023</v>
      </c>
      <c r="H36" s="65">
        <f t="shared" si="5"/>
        <v>465367.33806875005</v>
      </c>
      <c r="I36" s="66">
        <f t="shared" si="6"/>
        <v>3.5754189944134076E-7</v>
      </c>
      <c r="J36" s="67">
        <f t="shared" si="7"/>
        <v>0.16638832199106146</v>
      </c>
    </row>
    <row r="37" spans="1:11" x14ac:dyDescent="0.2">
      <c r="A37" s="26">
        <v>5</v>
      </c>
      <c r="B37" s="86" t="s">
        <v>220</v>
      </c>
      <c r="C37" s="86"/>
      <c r="D37" s="86"/>
      <c r="E37" s="86"/>
      <c r="H37" s="14"/>
      <c r="I37" s="15"/>
      <c r="J37" s="7"/>
    </row>
    <row r="38" spans="1:11" x14ac:dyDescent="0.2">
      <c r="B38" s="5" t="s">
        <v>158</v>
      </c>
      <c r="G38" s="31">
        <v>4</v>
      </c>
      <c r="H38" s="86" t="s">
        <v>228</v>
      </c>
      <c r="I38" s="86"/>
      <c r="J38" s="86"/>
      <c r="K38" s="86"/>
    </row>
    <row r="39" spans="1:11" x14ac:dyDescent="0.2">
      <c r="B39" s="102">
        <f>'Claims Data'!P101</f>
        <v>5253947.4237740003</v>
      </c>
      <c r="H39" s="71"/>
      <c r="I39" s="71"/>
      <c r="J39" s="71"/>
      <c r="K39" s="71"/>
    </row>
    <row r="40" spans="1:11" x14ac:dyDescent="0.2">
      <c r="B40" s="9"/>
      <c r="C40" s="9"/>
      <c r="G40" s="70"/>
      <c r="H40" s="71"/>
      <c r="I40" s="71"/>
      <c r="J40" s="71"/>
      <c r="K40" s="71"/>
    </row>
    <row r="41" spans="1:11" x14ac:dyDescent="0.2">
      <c r="A41" s="26">
        <v>6</v>
      </c>
      <c r="B41" s="86" t="s">
        <v>218</v>
      </c>
      <c r="C41" s="86"/>
      <c r="D41" s="86"/>
      <c r="E41" s="86"/>
      <c r="G41" s="22" t="s">
        <v>172</v>
      </c>
      <c r="H41" s="68">
        <f>SUM(I5:I10)/SUM(H5:H10)</f>
        <v>3.7275499830565912E-7</v>
      </c>
      <c r="I41" s="6"/>
      <c r="J41" s="13"/>
    </row>
    <row r="42" spans="1:11" x14ac:dyDescent="0.2">
      <c r="B42" s="2" t="s">
        <v>159</v>
      </c>
      <c r="G42" s="22" t="s">
        <v>173</v>
      </c>
      <c r="H42" s="69">
        <f>SUM(H18:H23)/SUM(I18:I23)</f>
        <v>586167.71765061119</v>
      </c>
      <c r="I42" s="6"/>
      <c r="J42" s="7"/>
      <c r="K42" s="11"/>
    </row>
    <row r="43" spans="1:11" x14ac:dyDescent="0.2">
      <c r="B43" s="40">
        <v>20</v>
      </c>
      <c r="H43" s="6"/>
      <c r="I43" s="6"/>
      <c r="J43" s="7"/>
    </row>
    <row r="44" spans="1:11" x14ac:dyDescent="0.2">
      <c r="G44" s="22" t="s">
        <v>168</v>
      </c>
      <c r="H44" s="16">
        <v>40000000</v>
      </c>
      <c r="I44" s="6"/>
      <c r="J44" s="17"/>
    </row>
    <row r="45" spans="1:11" x14ac:dyDescent="0.2">
      <c r="A45" s="26">
        <v>7</v>
      </c>
      <c r="B45" s="86" t="s">
        <v>219</v>
      </c>
      <c r="C45" s="86"/>
      <c r="D45" s="86"/>
      <c r="E45" s="86"/>
      <c r="G45" s="22"/>
      <c r="H45" s="16"/>
      <c r="I45" s="6"/>
      <c r="J45" s="17"/>
    </row>
    <row r="46" spans="1:11" ht="24.5" customHeight="1" x14ac:dyDescent="0.2">
      <c r="B46" s="2" t="s">
        <v>160</v>
      </c>
      <c r="G46" s="22"/>
      <c r="H46" s="16"/>
      <c r="I46" s="6"/>
      <c r="J46" s="17"/>
    </row>
    <row r="47" spans="1:11" ht="15" customHeight="1" x14ac:dyDescent="0.2">
      <c r="B47" s="76">
        <f>B39/B43</f>
        <v>262697.37118870002</v>
      </c>
      <c r="G47" s="87">
        <v>8</v>
      </c>
      <c r="H47" s="88" t="s">
        <v>229</v>
      </c>
      <c r="I47" s="88"/>
      <c r="J47" s="88"/>
      <c r="K47" s="88"/>
    </row>
    <row r="48" spans="1:11" ht="15" customHeight="1" x14ac:dyDescent="0.2">
      <c r="G48" s="87"/>
      <c r="H48" s="88"/>
      <c r="I48" s="88"/>
      <c r="J48" s="88"/>
      <c r="K48" s="88"/>
    </row>
    <row r="49" spans="7:14" x14ac:dyDescent="0.2">
      <c r="G49" s="18" t="s">
        <v>164</v>
      </c>
    </row>
    <row r="50" spans="7:14" x14ac:dyDescent="0.2">
      <c r="G50" s="6" t="s">
        <v>165</v>
      </c>
      <c r="N50" s="6"/>
    </row>
    <row r="51" spans="7:14" x14ac:dyDescent="0.2">
      <c r="H51" s="8"/>
      <c r="I51" s="8"/>
      <c r="N51" s="6"/>
    </row>
    <row r="52" spans="7:14" x14ac:dyDescent="0.2">
      <c r="G52" s="72">
        <f>H41*H42*H44+B47</f>
        <v>9002575.2351761255</v>
      </c>
      <c r="H52" s="8"/>
      <c r="I52" s="8"/>
      <c r="N52" s="6"/>
    </row>
    <row r="53" spans="7:14" x14ac:dyDescent="0.2">
      <c r="G53" s="19"/>
      <c r="N53" s="6"/>
    </row>
    <row r="54" spans="7:14" x14ac:dyDescent="0.2">
      <c r="G54" s="74">
        <v>9</v>
      </c>
      <c r="H54" s="86" t="s">
        <v>184</v>
      </c>
      <c r="I54" s="86"/>
      <c r="J54" s="86"/>
      <c r="K54" s="86"/>
      <c r="N54" s="6"/>
    </row>
    <row r="55" spans="7:14" x14ac:dyDescent="0.2">
      <c r="G55" s="18" t="s">
        <v>166</v>
      </c>
      <c r="N55" s="6"/>
    </row>
    <row r="56" spans="7:14" x14ac:dyDescent="0.2">
      <c r="G56" s="6" t="s">
        <v>167</v>
      </c>
      <c r="H56" s="7"/>
      <c r="I56" s="7"/>
      <c r="N56" s="6"/>
    </row>
    <row r="57" spans="7:14" ht="48" customHeight="1" x14ac:dyDescent="0.2"/>
    <row r="58" spans="7:14" x14ac:dyDescent="0.2">
      <c r="G58" s="73">
        <f>G52*(1+0.3)*(1+0.1)</f>
        <v>12873682.586301861</v>
      </c>
    </row>
    <row r="60" spans="7:14" x14ac:dyDescent="0.2">
      <c r="G60" s="89">
        <v>10</v>
      </c>
      <c r="H60" s="90" t="s">
        <v>230</v>
      </c>
      <c r="I60" s="90"/>
      <c r="J60" s="90"/>
      <c r="K60" s="90"/>
    </row>
    <row r="61" spans="7:14" ht="16" customHeight="1" x14ac:dyDescent="0.2">
      <c r="G61" s="89"/>
      <c r="H61" s="90"/>
      <c r="I61" s="90"/>
      <c r="J61" s="90"/>
      <c r="K61" s="90"/>
    </row>
    <row r="62" spans="7:14" x14ac:dyDescent="0.2">
      <c r="G62" s="89"/>
      <c r="H62" s="90"/>
      <c r="I62" s="90"/>
      <c r="J62" s="90"/>
      <c r="K62" s="90"/>
    </row>
    <row r="63" spans="7:14" x14ac:dyDescent="0.2">
      <c r="G63" s="18" t="s">
        <v>161</v>
      </c>
      <c r="H63" t="s">
        <v>224</v>
      </c>
    </row>
    <row r="64" spans="7:14" x14ac:dyDescent="0.2">
      <c r="G64" s="18" t="s">
        <v>227</v>
      </c>
      <c r="H64" s="76"/>
    </row>
    <row r="65" spans="7:9" ht="31" customHeight="1" x14ac:dyDescent="0.2">
      <c r="G65" s="18" t="s">
        <v>172</v>
      </c>
      <c r="H65" s="76"/>
    </row>
    <row r="66" spans="7:9" x14ac:dyDescent="0.2">
      <c r="G66" s="18" t="s">
        <v>225</v>
      </c>
      <c r="H66" s="40"/>
    </row>
    <row r="67" spans="7:9" x14ac:dyDescent="0.2">
      <c r="G67" s="18" t="s">
        <v>226</v>
      </c>
      <c r="H67" s="75"/>
      <c r="I67" s="8"/>
    </row>
    <row r="69" spans="7:9" x14ac:dyDescent="0.2">
      <c r="G69" s="19"/>
    </row>
  </sheetData>
  <mergeCells count="15">
    <mergeCell ref="G60:G62"/>
    <mergeCell ref="H60:K62"/>
    <mergeCell ref="H38:K38"/>
    <mergeCell ref="H54:K54"/>
    <mergeCell ref="G2:G3"/>
    <mergeCell ref="H2:K3"/>
    <mergeCell ref="G28:G29"/>
    <mergeCell ref="H28:K29"/>
    <mergeCell ref="G13:G16"/>
    <mergeCell ref="H13:K16"/>
    <mergeCell ref="B37:E37"/>
    <mergeCell ref="B41:E41"/>
    <mergeCell ref="B45:E45"/>
    <mergeCell ref="G47:G48"/>
    <mergeCell ref="H47:K48"/>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7843-A772-0043-97E6-3D96391F7E46}">
  <dimension ref="A1:N69"/>
  <sheetViews>
    <sheetView topLeftCell="A8" zoomScaleNormal="100" workbookViewId="0">
      <selection activeCell="H41" sqref="H41"/>
    </sheetView>
  </sheetViews>
  <sheetFormatPr baseColWidth="10" defaultColWidth="10.6640625" defaultRowHeight="16" x14ac:dyDescent="0.2"/>
  <cols>
    <col min="2" max="2" width="40.6640625" customWidth="1"/>
    <col min="3" max="3" width="37.33203125" bestFit="1" customWidth="1"/>
    <col min="4" max="4" width="18.1640625" customWidth="1"/>
    <col min="5" max="5" width="12.33203125" customWidth="1"/>
    <col min="7" max="7" width="31.6640625" style="6" customWidth="1"/>
    <col min="8" max="11" width="25.5" customWidth="1"/>
    <col min="12" max="12" width="19.1640625" customWidth="1"/>
    <col min="14" max="14" width="23.33203125" customWidth="1"/>
    <col min="111" max="111" width="7" bestFit="1" customWidth="1"/>
    <col min="112" max="112" width="10.5" bestFit="1" customWidth="1"/>
  </cols>
  <sheetData>
    <row r="1" spans="2:11" x14ac:dyDescent="0.2">
      <c r="G1" s="18" t="s">
        <v>214</v>
      </c>
      <c r="H1" s="10"/>
      <c r="I1" s="11"/>
    </row>
    <row r="2" spans="2:11" ht="17.5" customHeight="1" x14ac:dyDescent="0.25">
      <c r="B2" s="4" t="s">
        <v>148</v>
      </c>
      <c r="G2" s="91">
        <v>1</v>
      </c>
      <c r="H2" s="92" t="s">
        <v>221</v>
      </c>
      <c r="I2" s="92"/>
      <c r="J2" s="92"/>
      <c r="K2" s="92"/>
    </row>
    <row r="3" spans="2:11" ht="20" thickBot="1" x14ac:dyDescent="0.3">
      <c r="B3" s="4"/>
      <c r="G3" s="91"/>
      <c r="H3" s="92"/>
      <c r="I3" s="92"/>
      <c r="J3" s="92"/>
      <c r="K3" s="92"/>
    </row>
    <row r="4" spans="2:11" ht="17" thickBot="1" x14ac:dyDescent="0.25">
      <c r="D4" s="47" t="s">
        <v>203</v>
      </c>
      <c r="E4" s="48" t="s">
        <v>204</v>
      </c>
      <c r="G4" s="49" t="s">
        <v>170</v>
      </c>
      <c r="H4" s="32" t="s">
        <v>177</v>
      </c>
      <c r="I4" s="32" t="s">
        <v>171</v>
      </c>
      <c r="J4" s="58" t="s">
        <v>175</v>
      </c>
      <c r="K4" s="2"/>
    </row>
    <row r="5" spans="2:11" x14ac:dyDescent="0.2">
      <c r="B5" s="44">
        <v>2018</v>
      </c>
      <c r="C5" s="32" t="s">
        <v>149</v>
      </c>
      <c r="D5" s="33">
        <v>1.08</v>
      </c>
      <c r="E5" s="34">
        <f t="shared" ref="E5:E10" si="0">E6*D6</f>
        <v>1.2053063131200001</v>
      </c>
      <c r="G5" s="51">
        <v>2018</v>
      </c>
      <c r="H5" s="55">
        <f t="shared" ref="H5:H10" si="1">C15</f>
        <v>45000000</v>
      </c>
      <c r="I5" s="99">
        <f>COUNTIFS('Claims Data'!$D$2:$D$101, "&lt;1000000",'Claims Data'!$S$2:$S$101,'Stress Testing'!G5)</f>
        <v>10</v>
      </c>
      <c r="J5" s="100">
        <f>I5/H5</f>
        <v>2.2222222222222222E-7</v>
      </c>
    </row>
    <row r="6" spans="2:11" x14ac:dyDescent="0.2">
      <c r="B6" s="45">
        <v>2019</v>
      </c>
      <c r="C6" t="s">
        <v>150</v>
      </c>
      <c r="D6">
        <v>1.05</v>
      </c>
      <c r="E6" s="35">
        <f t="shared" si="0"/>
        <v>1.1479107744000001</v>
      </c>
      <c r="G6" s="51">
        <f>G5+1</f>
        <v>2019</v>
      </c>
      <c r="H6" s="55">
        <f t="shared" si="1"/>
        <v>49000000</v>
      </c>
      <c r="I6" s="99">
        <f>COUNTIFS('Claims Data'!$D$2:$D$101, "&lt;1000000",'Claims Data'!$S$2:$S$101,'Stress Testing'!G6)</f>
        <v>17</v>
      </c>
      <c r="J6" s="100">
        <f t="shared" ref="J6:J10" si="2">I6/H6</f>
        <v>3.4693877551020406E-7</v>
      </c>
      <c r="K6" s="2"/>
    </row>
    <row r="7" spans="2:11" x14ac:dyDescent="0.2">
      <c r="B7" s="45">
        <v>2020</v>
      </c>
      <c r="C7" t="s">
        <v>151</v>
      </c>
      <c r="D7">
        <v>1.04</v>
      </c>
      <c r="E7" s="35">
        <f t="shared" si="0"/>
        <v>1.1037603600000001</v>
      </c>
      <c r="G7" s="51">
        <f>G6+1</f>
        <v>2020</v>
      </c>
      <c r="H7" s="55">
        <f t="shared" si="1"/>
        <v>41750000</v>
      </c>
      <c r="I7" s="99">
        <f>COUNTIFS('Claims Data'!$D$2:$D$101, "&lt;1000000",'Claims Data'!$S$2:$S$101,'Stress Testing'!G7)</f>
        <v>20</v>
      </c>
      <c r="J7" s="100">
        <f t="shared" si="2"/>
        <v>4.7904191616766466E-7</v>
      </c>
    </row>
    <row r="8" spans="2:11" x14ac:dyDescent="0.2">
      <c r="B8" s="45">
        <v>2021</v>
      </c>
      <c r="C8" t="s">
        <v>152</v>
      </c>
      <c r="D8">
        <v>1.03</v>
      </c>
      <c r="E8" s="35">
        <f t="shared" si="0"/>
        <v>1.071612</v>
      </c>
      <c r="G8" s="51">
        <f>G7+1</f>
        <v>2021</v>
      </c>
      <c r="H8" s="55">
        <f t="shared" si="1"/>
        <v>41500000</v>
      </c>
      <c r="I8" s="99">
        <f>COUNTIFS('Claims Data'!$D$2:$D$101, "&lt;1000000",'Claims Data'!$S$2:$S$101,'Stress Testing'!G8)</f>
        <v>20</v>
      </c>
      <c r="J8" s="100">
        <f t="shared" si="2"/>
        <v>4.8192771084337348E-7</v>
      </c>
    </row>
    <row r="9" spans="2:11" x14ac:dyDescent="0.2">
      <c r="B9" s="45">
        <v>2022</v>
      </c>
      <c r="C9" t="s">
        <v>153</v>
      </c>
      <c r="D9">
        <v>1.02</v>
      </c>
      <c r="E9" s="35">
        <f t="shared" si="0"/>
        <v>1.0506</v>
      </c>
      <c r="G9" s="51">
        <f>G8+1</f>
        <v>2022</v>
      </c>
      <c r="H9" s="55">
        <f t="shared" si="1"/>
        <v>43590000</v>
      </c>
      <c r="I9" s="99">
        <f>COUNTIFS('Claims Data'!$D$2:$D$101, "&lt;1000000",'Claims Data'!$S$2:$S$101,'Stress Testing'!G9)</f>
        <v>16</v>
      </c>
      <c r="J9" s="100">
        <f t="shared" si="2"/>
        <v>3.6705666437256249E-7</v>
      </c>
      <c r="K9" s="7"/>
    </row>
    <row r="10" spans="2:11" ht="17" thickBot="1" x14ac:dyDescent="0.25">
      <c r="B10" s="45">
        <v>2023</v>
      </c>
      <c r="C10" t="s">
        <v>153</v>
      </c>
      <c r="D10">
        <v>1.02</v>
      </c>
      <c r="E10" s="35">
        <f t="shared" si="0"/>
        <v>1.03</v>
      </c>
      <c r="G10" s="53">
        <f>G9+1</f>
        <v>2023</v>
      </c>
      <c r="H10" s="61">
        <f t="shared" si="1"/>
        <v>44750000</v>
      </c>
      <c r="I10" s="99">
        <f>COUNTIFS('Claims Data'!$D$2:$D$101, "&lt;1000000",'Claims Data'!$S$2:$S$101,'Stress Testing'!G10)</f>
        <v>16</v>
      </c>
      <c r="J10" s="100">
        <f t="shared" si="2"/>
        <v>3.5754189944134076E-7</v>
      </c>
    </row>
    <row r="11" spans="2:11" ht="17" customHeight="1" thickBot="1" x14ac:dyDescent="0.25">
      <c r="B11" s="46">
        <v>2024</v>
      </c>
      <c r="C11" s="36" t="s">
        <v>169</v>
      </c>
      <c r="D11" s="36">
        <v>1.03</v>
      </c>
      <c r="E11" s="37">
        <v>1</v>
      </c>
    </row>
    <row r="12" spans="2:11" ht="17" customHeight="1" x14ac:dyDescent="0.2">
      <c r="B12" s="5"/>
      <c r="G12" s="2" t="s">
        <v>213</v>
      </c>
    </row>
    <row r="13" spans="2:11" ht="17" customHeight="1" thickBot="1" x14ac:dyDescent="0.25">
      <c r="B13" s="2" t="s">
        <v>205</v>
      </c>
      <c r="G13" s="91">
        <v>2</v>
      </c>
      <c r="H13" s="94" t="s">
        <v>222</v>
      </c>
      <c r="I13" s="94"/>
      <c r="J13" s="94"/>
      <c r="K13" s="94"/>
    </row>
    <row r="14" spans="2:11" ht="17" customHeight="1" x14ac:dyDescent="0.2">
      <c r="B14" s="49" t="s">
        <v>170</v>
      </c>
      <c r="C14" s="50" t="s">
        <v>206</v>
      </c>
      <c r="G14" s="91"/>
      <c r="H14" s="94"/>
      <c r="I14" s="94"/>
      <c r="J14" s="94"/>
      <c r="K14" s="94"/>
    </row>
    <row r="15" spans="2:11" ht="17" customHeight="1" x14ac:dyDescent="0.2">
      <c r="B15" s="51">
        <v>2018</v>
      </c>
      <c r="C15" s="52">
        <f>45000000</f>
        <v>45000000</v>
      </c>
      <c r="G15" s="91"/>
      <c r="H15" s="94"/>
      <c r="I15" s="94"/>
      <c r="J15" s="94"/>
      <c r="K15" s="94"/>
    </row>
    <row r="16" spans="2:11" ht="17" customHeight="1" thickBot="1" x14ac:dyDescent="0.25">
      <c r="B16" s="51">
        <f>B15+1</f>
        <v>2019</v>
      </c>
      <c r="C16" s="52">
        <v>49000000</v>
      </c>
      <c r="G16" s="91"/>
      <c r="H16" s="94"/>
      <c r="I16" s="94"/>
      <c r="J16" s="94"/>
      <c r="K16" s="94"/>
    </row>
    <row r="17" spans="2:11" ht="17" customHeight="1" x14ac:dyDescent="0.2">
      <c r="B17" s="51">
        <f>B16+1</f>
        <v>2020</v>
      </c>
      <c r="C17" s="52">
        <v>41750000</v>
      </c>
      <c r="G17" s="49" t="s">
        <v>170</v>
      </c>
      <c r="H17" s="32" t="s">
        <v>242</v>
      </c>
      <c r="I17" s="32" t="s">
        <v>171</v>
      </c>
      <c r="J17" s="58" t="s">
        <v>243</v>
      </c>
    </row>
    <row r="18" spans="2:11" ht="17" customHeight="1" x14ac:dyDescent="0.2">
      <c r="B18" s="51">
        <f>B17+1</f>
        <v>2021</v>
      </c>
      <c r="C18" s="52">
        <v>41500000</v>
      </c>
      <c r="G18" s="51">
        <v>2018</v>
      </c>
      <c r="H18" s="55">
        <f>SUMIFS('Claims Data'!$Q$2:$Q$101,'Claims Data'!$Q$2:$Q$101,"&lt;1000000",'Claims Data'!$S$2:$S$101,'Stress Testing'!G18)*(1+0.06)</f>
        <v>6813925.4562545158</v>
      </c>
      <c r="I18" s="55">
        <f>COUNTIFS('Claims Data'!$Q$2:$Q$101,"&lt;1000000",'Claims Data'!$S$2:$S$101,'Stress Testing'!G18)</f>
        <v>10</v>
      </c>
      <c r="J18" s="101">
        <f>H18/I18</f>
        <v>681392.5456254516</v>
      </c>
    </row>
    <row r="19" spans="2:11" ht="17" customHeight="1" x14ac:dyDescent="0.2">
      <c r="B19" s="51">
        <f>B18+1</f>
        <v>2022</v>
      </c>
      <c r="C19" s="52">
        <v>43590000</v>
      </c>
      <c r="G19" s="51">
        <f>G18+1</f>
        <v>2019</v>
      </c>
      <c r="H19" s="55">
        <f>SUMIFS('Claims Data'!$Q$2:$Q$101,'Claims Data'!$Q$2:$Q$101,"&lt;1000000",'Claims Data'!$S$2:$S$101,'Stress Testing'!G19)*(1+0.06)</f>
        <v>10987100.245656775</v>
      </c>
      <c r="I19" s="55">
        <f>COUNTIFS('Claims Data'!$Q$2:$Q$101,"&lt;1000000",'Claims Data'!$S$2:$S$101,'Stress Testing'!G19)</f>
        <v>17</v>
      </c>
      <c r="J19" s="101">
        <f t="shared" ref="J19:J23" si="3">H19/I19</f>
        <v>646300.01445039851</v>
      </c>
    </row>
    <row r="20" spans="2:11" ht="17" customHeight="1" thickBot="1" x14ac:dyDescent="0.25">
      <c r="B20" s="53">
        <f>B19+1</f>
        <v>2023</v>
      </c>
      <c r="C20" s="54">
        <v>44750000</v>
      </c>
      <c r="G20" s="51">
        <f t="shared" ref="G20:G23" si="4">G19+1</f>
        <v>2020</v>
      </c>
      <c r="H20" s="55">
        <f>SUMIFS('Claims Data'!$Q$2:$Q$101,'Claims Data'!$Q$2:$Q$101,"&lt;1000000",'Claims Data'!$S$2:$S$101,'Stress Testing'!G20)*(1+0.06)</f>
        <v>12797636.753307289</v>
      </c>
      <c r="I20" s="55">
        <f>COUNTIFS('Claims Data'!$Q$2:$Q$101,"&lt;1000000",'Claims Data'!$S$2:$S$101,'Stress Testing'!G20)</f>
        <v>20</v>
      </c>
      <c r="J20" s="101">
        <f t="shared" si="3"/>
        <v>639881.83766536438</v>
      </c>
    </row>
    <row r="21" spans="2:11" ht="17" customHeight="1" thickBot="1" x14ac:dyDescent="0.25">
      <c r="B21" s="18"/>
      <c r="C21" s="55"/>
      <c r="G21" s="51">
        <f t="shared" si="4"/>
        <v>2021</v>
      </c>
      <c r="H21" s="55">
        <f>SUMIFS('Claims Data'!$Q$2:$Q$101,'Claims Data'!$Q$2:$Q$101,"&lt;1000000",'Claims Data'!$S$2:$S$101,'Stress Testing'!G21)*(1+0.06)</f>
        <v>12684306.976213086</v>
      </c>
      <c r="I21" s="55">
        <f>COUNTIFS('Claims Data'!$Q$2:$Q$101,"&lt;1000000",'Claims Data'!$S$2:$S$101,'Stress Testing'!G21)</f>
        <v>20</v>
      </c>
      <c r="J21" s="101">
        <f t="shared" si="3"/>
        <v>634215.34881065437</v>
      </c>
    </row>
    <row r="22" spans="2:11" ht="17" customHeight="1" thickBot="1" x14ac:dyDescent="0.25">
      <c r="B22" s="56" t="s">
        <v>207</v>
      </c>
      <c r="C22" s="57">
        <v>40000000</v>
      </c>
      <c r="G22" s="51">
        <f t="shared" si="4"/>
        <v>2022</v>
      </c>
      <c r="H22" s="55">
        <f>SUMIFS('Claims Data'!$Q$2:$Q$101,'Claims Data'!$Q$2:$Q$101,"&lt;1000000",'Claims Data'!$S$2:$S$101,'Stress Testing'!G22)*(1+0.06)</f>
        <v>10336840.805177478</v>
      </c>
      <c r="I22" s="55">
        <f>COUNTIFS('Claims Data'!$Q$2:$Q$101,"&lt;1000000",'Claims Data'!$S$2:$S$101,'Stress Testing'!G22)</f>
        <v>16</v>
      </c>
      <c r="J22" s="101">
        <f t="shared" si="3"/>
        <v>646052.55032359238</v>
      </c>
    </row>
    <row r="23" spans="2:11" ht="17" customHeight="1" thickBot="1" x14ac:dyDescent="0.25">
      <c r="B23" s="5"/>
      <c r="G23" s="53">
        <f t="shared" si="4"/>
        <v>2023</v>
      </c>
      <c r="H23" s="55">
        <f>SUMIFS('Claims Data'!$Q$2:$Q$101,'Claims Data'!$Q$2:$Q$101,"&lt;1000000",'Claims Data'!$S$2:$S$101,'Stress Testing'!G23)*(1+0.06)</f>
        <v>7892630.053646001</v>
      </c>
      <c r="I23" s="55">
        <f>COUNTIFS('Claims Data'!$Q$2:$Q$101,"&lt;1000000",'Claims Data'!$S$2:$S$101,'Stress Testing'!G23)</f>
        <v>16</v>
      </c>
      <c r="J23" s="101">
        <f t="shared" si="3"/>
        <v>493289.37835287506</v>
      </c>
    </row>
    <row r="24" spans="2:11" ht="17" customHeight="1" x14ac:dyDescent="0.2">
      <c r="B24" s="23"/>
      <c r="C24" s="42" t="s">
        <v>178</v>
      </c>
      <c r="D24" s="23"/>
      <c r="G24" s="62"/>
      <c r="H24" s="62"/>
      <c r="I24" s="62"/>
      <c r="J24" s="62"/>
    </row>
    <row r="25" spans="2:11" ht="17" customHeight="1" x14ac:dyDescent="0.2">
      <c r="B25" s="23">
        <v>1</v>
      </c>
      <c r="C25" s="23" t="s">
        <v>179</v>
      </c>
      <c r="D25" s="23"/>
    </row>
    <row r="26" spans="2:11" ht="17" customHeight="1" x14ac:dyDescent="0.2">
      <c r="B26" s="23">
        <v>2</v>
      </c>
      <c r="C26" s="23" t="s">
        <v>180</v>
      </c>
      <c r="D26" s="23"/>
    </row>
    <row r="27" spans="2:11" ht="17" customHeight="1" x14ac:dyDescent="0.2">
      <c r="B27" s="23">
        <v>3</v>
      </c>
      <c r="C27" s="23" t="s">
        <v>208</v>
      </c>
      <c r="D27" s="23"/>
      <c r="G27" s="18" t="s">
        <v>216</v>
      </c>
    </row>
    <row r="28" spans="2:11" ht="17" customHeight="1" x14ac:dyDescent="0.2">
      <c r="B28" s="23">
        <v>4</v>
      </c>
      <c r="C28" s="23" t="s">
        <v>181</v>
      </c>
      <c r="D28" s="23"/>
      <c r="G28" s="91">
        <v>3</v>
      </c>
      <c r="H28" s="90" t="s">
        <v>223</v>
      </c>
      <c r="I28" s="90"/>
      <c r="J28" s="90"/>
      <c r="K28" s="90"/>
    </row>
    <row r="29" spans="2:11" ht="17" customHeight="1" thickBot="1" x14ac:dyDescent="0.25">
      <c r="B29" s="23">
        <v>5</v>
      </c>
      <c r="C29" s="23" t="s">
        <v>209</v>
      </c>
      <c r="D29" s="23"/>
      <c r="G29" s="93"/>
      <c r="H29" s="90"/>
      <c r="I29" s="90"/>
      <c r="J29" s="90"/>
      <c r="K29" s="90"/>
    </row>
    <row r="30" spans="2:11" ht="17" customHeight="1" x14ac:dyDescent="0.2">
      <c r="B30" s="23">
        <v>6</v>
      </c>
      <c r="C30" s="23" t="s">
        <v>210</v>
      </c>
      <c r="D30" s="23"/>
      <c r="G30" s="49" t="s">
        <v>174</v>
      </c>
      <c r="H30" s="63" t="s">
        <v>215</v>
      </c>
      <c r="I30" s="63" t="s">
        <v>175</v>
      </c>
      <c r="J30" s="64" t="s">
        <v>176</v>
      </c>
    </row>
    <row r="31" spans="2:11" ht="17" customHeight="1" x14ac:dyDescent="0.2">
      <c r="B31" s="23">
        <v>7</v>
      </c>
      <c r="C31" s="23" t="s">
        <v>211</v>
      </c>
      <c r="D31" s="23"/>
      <c r="G31" s="59">
        <v>2018</v>
      </c>
      <c r="H31" s="65">
        <f>J18</f>
        <v>681392.5456254516</v>
      </c>
      <c r="I31" s="66">
        <f>J5</f>
        <v>2.2222222222222222E-7</v>
      </c>
      <c r="J31" s="67">
        <f>H31*I31</f>
        <v>0.15142056569454479</v>
      </c>
    </row>
    <row r="32" spans="2:11" ht="17" customHeight="1" x14ac:dyDescent="0.2">
      <c r="B32" s="23">
        <v>8</v>
      </c>
      <c r="C32" s="23" t="s">
        <v>212</v>
      </c>
      <c r="D32" s="23"/>
      <c r="G32" s="59">
        <v>2019</v>
      </c>
      <c r="H32" s="65">
        <f t="shared" ref="H32:H36" si="5">J19</f>
        <v>646300.01445039851</v>
      </c>
      <c r="I32" s="66">
        <f t="shared" ref="I32:I36" si="6">J6</f>
        <v>3.4693877551020406E-7</v>
      </c>
      <c r="J32" s="67">
        <f t="shared" ref="J32:J36" si="7">H32*I32</f>
        <v>0.22422653562564845</v>
      </c>
    </row>
    <row r="33" spans="1:11" ht="17" customHeight="1" x14ac:dyDescent="0.2">
      <c r="B33" s="5"/>
      <c r="G33" s="59">
        <v>2020</v>
      </c>
      <c r="H33" s="65">
        <f t="shared" si="5"/>
        <v>639881.83766536438</v>
      </c>
      <c r="I33" s="66">
        <f t="shared" si="6"/>
        <v>4.7904191616766466E-7</v>
      </c>
      <c r="J33" s="67">
        <f t="shared" si="7"/>
        <v>0.30653022163610272</v>
      </c>
    </row>
    <row r="34" spans="1:11" x14ac:dyDescent="0.2">
      <c r="G34" s="59">
        <v>2021</v>
      </c>
      <c r="H34" s="65">
        <f t="shared" si="5"/>
        <v>634215.34881065437</v>
      </c>
      <c r="I34" s="66">
        <f t="shared" si="6"/>
        <v>4.8192771084337348E-7</v>
      </c>
      <c r="J34" s="67">
        <f t="shared" si="7"/>
        <v>0.30564595123405031</v>
      </c>
    </row>
    <row r="35" spans="1:11" ht="15" customHeight="1" x14ac:dyDescent="0.2">
      <c r="C35" s="9"/>
      <c r="E35" s="12"/>
      <c r="G35" s="59">
        <v>2022</v>
      </c>
      <c r="H35" s="65">
        <f t="shared" si="5"/>
        <v>646052.55032359238</v>
      </c>
      <c r="I35" s="66">
        <f t="shared" si="6"/>
        <v>3.6705666437256249E-7</v>
      </c>
      <c r="J35" s="67">
        <f t="shared" si="7"/>
        <v>0.2371378941311649</v>
      </c>
    </row>
    <row r="36" spans="1:11" ht="17" thickBot="1" x14ac:dyDescent="0.25">
      <c r="E36" s="12"/>
      <c r="G36" s="60">
        <v>2023</v>
      </c>
      <c r="H36" s="65">
        <f t="shared" si="5"/>
        <v>493289.37835287506</v>
      </c>
      <c r="I36" s="66">
        <f t="shared" si="6"/>
        <v>3.5754189944134076E-7</v>
      </c>
      <c r="J36" s="67">
        <f t="shared" si="7"/>
        <v>0.17637162131052517</v>
      </c>
    </row>
    <row r="37" spans="1:11" x14ac:dyDescent="0.2">
      <c r="A37" s="26">
        <v>5</v>
      </c>
      <c r="B37" s="86" t="s">
        <v>220</v>
      </c>
      <c r="C37" s="86"/>
      <c r="D37" s="86"/>
      <c r="E37" s="86"/>
      <c r="H37" s="14"/>
      <c r="I37" s="15"/>
      <c r="J37" s="7"/>
    </row>
    <row r="38" spans="1:11" x14ac:dyDescent="0.2">
      <c r="B38" s="5" t="s">
        <v>158</v>
      </c>
      <c r="G38" s="31">
        <v>4</v>
      </c>
      <c r="H38" s="86" t="s">
        <v>228</v>
      </c>
      <c r="I38" s="86"/>
      <c r="J38" s="86"/>
      <c r="K38" s="86"/>
    </row>
    <row r="39" spans="1:11" x14ac:dyDescent="0.2">
      <c r="B39" s="102">
        <f>'Claims Data'!P101</f>
        <v>5253947.4237740003</v>
      </c>
      <c r="H39" s="71"/>
      <c r="I39" s="71"/>
      <c r="J39" s="71"/>
      <c r="K39" s="71"/>
    </row>
    <row r="40" spans="1:11" x14ac:dyDescent="0.2">
      <c r="B40" s="9"/>
      <c r="C40" s="9"/>
      <c r="G40" s="70"/>
      <c r="H40" s="71"/>
      <c r="I40" s="71"/>
      <c r="J40" s="71"/>
      <c r="K40" s="71"/>
    </row>
    <row r="41" spans="1:11" x14ac:dyDescent="0.2">
      <c r="A41" s="26">
        <v>6</v>
      </c>
      <c r="B41" s="86" t="s">
        <v>218</v>
      </c>
      <c r="C41" s="86"/>
      <c r="D41" s="86"/>
      <c r="E41" s="86"/>
      <c r="G41" s="22" t="s">
        <v>172</v>
      </c>
      <c r="H41" s="68">
        <f>SUM(I5:I10)/SUM(H5:H10)</f>
        <v>3.7275499830565912E-7</v>
      </c>
      <c r="I41" s="6"/>
      <c r="J41" s="13"/>
    </row>
    <row r="42" spans="1:11" x14ac:dyDescent="0.2">
      <c r="B42" s="2" t="s">
        <v>159</v>
      </c>
      <c r="G42" s="22" t="s">
        <v>173</v>
      </c>
      <c r="H42" s="69">
        <f>SUM(H18:H23)/SUM(I18:I23)</f>
        <v>621337.78070964792</v>
      </c>
      <c r="I42" s="6"/>
      <c r="J42" s="7"/>
      <c r="K42" s="11"/>
    </row>
    <row r="43" spans="1:11" x14ac:dyDescent="0.2">
      <c r="B43" s="40">
        <v>20</v>
      </c>
      <c r="H43" s="6"/>
      <c r="I43" s="6"/>
      <c r="J43" s="7"/>
    </row>
    <row r="44" spans="1:11" x14ac:dyDescent="0.2">
      <c r="G44" s="22" t="s">
        <v>168</v>
      </c>
      <c r="H44" s="16">
        <v>40000000</v>
      </c>
      <c r="I44" s="6"/>
      <c r="J44" s="17"/>
    </row>
    <row r="45" spans="1:11" x14ac:dyDescent="0.2">
      <c r="A45" s="26">
        <v>7</v>
      </c>
      <c r="B45" s="86" t="s">
        <v>219</v>
      </c>
      <c r="C45" s="86"/>
      <c r="D45" s="86"/>
      <c r="E45" s="86"/>
      <c r="G45" s="22"/>
      <c r="H45" s="16"/>
      <c r="I45" s="6"/>
      <c r="J45" s="17"/>
    </row>
    <row r="46" spans="1:11" ht="24.5" customHeight="1" x14ac:dyDescent="0.2">
      <c r="B46" s="2" t="s">
        <v>160</v>
      </c>
      <c r="G46" s="22"/>
      <c r="H46" s="16"/>
      <c r="I46" s="6"/>
      <c r="J46" s="17"/>
    </row>
    <row r="47" spans="1:11" ht="15" customHeight="1" x14ac:dyDescent="0.2">
      <c r="B47" s="76">
        <f>B39/B43</f>
        <v>262697.37118870002</v>
      </c>
      <c r="G47" s="87">
        <v>8</v>
      </c>
      <c r="H47" s="88" t="s">
        <v>229</v>
      </c>
      <c r="I47" s="88"/>
      <c r="J47" s="88"/>
      <c r="K47" s="88"/>
    </row>
    <row r="48" spans="1:11" ht="15" customHeight="1" x14ac:dyDescent="0.2">
      <c r="G48" s="87"/>
      <c r="H48" s="88"/>
      <c r="I48" s="88"/>
      <c r="J48" s="88"/>
      <c r="K48" s="88"/>
    </row>
    <row r="49" spans="7:14" x14ac:dyDescent="0.2">
      <c r="G49" s="18" t="s">
        <v>164</v>
      </c>
    </row>
    <row r="50" spans="7:14" x14ac:dyDescent="0.2">
      <c r="G50" s="6" t="s">
        <v>165</v>
      </c>
      <c r="N50" s="6"/>
    </row>
    <row r="51" spans="7:14" x14ac:dyDescent="0.2">
      <c r="H51" s="8"/>
      <c r="I51" s="8"/>
      <c r="N51" s="6"/>
    </row>
    <row r="52" spans="7:14" x14ac:dyDescent="0.2">
      <c r="G52" s="72">
        <f>H41*H42*H44+B47</f>
        <v>9526967.9070153721</v>
      </c>
      <c r="H52" s="8"/>
      <c r="I52" s="8"/>
      <c r="N52" s="6"/>
    </row>
    <row r="53" spans="7:14" x14ac:dyDescent="0.2">
      <c r="G53" s="19"/>
      <c r="N53" s="6"/>
    </row>
    <row r="54" spans="7:14" x14ac:dyDescent="0.2">
      <c r="G54" s="74">
        <v>9</v>
      </c>
      <c r="H54" s="86" t="s">
        <v>184</v>
      </c>
      <c r="I54" s="86"/>
      <c r="J54" s="86"/>
      <c r="K54" s="86"/>
      <c r="N54" s="6"/>
    </row>
    <row r="55" spans="7:14" x14ac:dyDescent="0.2">
      <c r="G55" s="18" t="s">
        <v>166</v>
      </c>
      <c r="N55" s="6"/>
    </row>
    <row r="56" spans="7:14" x14ac:dyDescent="0.2">
      <c r="G56" s="6" t="s">
        <v>167</v>
      </c>
      <c r="H56" s="7"/>
      <c r="I56" s="7"/>
      <c r="N56" s="6"/>
    </row>
    <row r="57" spans="7:14" ht="48" customHeight="1" x14ac:dyDescent="0.2"/>
    <row r="58" spans="7:14" x14ac:dyDescent="0.2">
      <c r="G58" s="73">
        <f>G52*(1+0.3)*(1+0.1)</f>
        <v>13623564.107031982</v>
      </c>
    </row>
    <row r="60" spans="7:14" x14ac:dyDescent="0.2">
      <c r="G60" s="89">
        <v>10</v>
      </c>
      <c r="H60" s="90" t="s">
        <v>230</v>
      </c>
      <c r="I60" s="90"/>
      <c r="J60" s="90"/>
      <c r="K60" s="90"/>
    </row>
    <row r="61" spans="7:14" ht="16" customHeight="1" x14ac:dyDescent="0.2">
      <c r="G61" s="89"/>
      <c r="H61" s="90"/>
      <c r="I61" s="90"/>
      <c r="J61" s="90"/>
      <c r="K61" s="90"/>
    </row>
    <row r="62" spans="7:14" x14ac:dyDescent="0.2">
      <c r="G62" s="89"/>
      <c r="H62" s="90"/>
      <c r="I62" s="90"/>
      <c r="J62" s="90"/>
      <c r="K62" s="90"/>
    </row>
    <row r="63" spans="7:14" x14ac:dyDescent="0.2">
      <c r="G63" s="18" t="s">
        <v>161</v>
      </c>
      <c r="H63" t="s">
        <v>224</v>
      </c>
    </row>
    <row r="64" spans="7:14" x14ac:dyDescent="0.2">
      <c r="G64" s="18" t="s">
        <v>227</v>
      </c>
      <c r="H64" s="76"/>
      <c r="I64" s="103">
        <f>H42</f>
        <v>621337.78070964792</v>
      </c>
    </row>
    <row r="65" spans="7:9" ht="31" customHeight="1" x14ac:dyDescent="0.2">
      <c r="G65" s="18" t="s">
        <v>172</v>
      </c>
      <c r="H65" s="76"/>
      <c r="I65" s="104">
        <f>H41</f>
        <v>3.7275499830565912E-7</v>
      </c>
    </row>
    <row r="66" spans="7:9" x14ac:dyDescent="0.2">
      <c r="G66" s="18" t="s">
        <v>225</v>
      </c>
      <c r="H66" s="40"/>
      <c r="I66" s="7">
        <f>G52</f>
        <v>9526967.9070153721</v>
      </c>
    </row>
    <row r="67" spans="7:9" x14ac:dyDescent="0.2">
      <c r="G67" s="18" t="s">
        <v>226</v>
      </c>
      <c r="H67" s="75">
        <f>G58</f>
        <v>13623564.107031982</v>
      </c>
      <c r="I67" s="8"/>
    </row>
    <row r="69" spans="7:9" x14ac:dyDescent="0.2">
      <c r="G69" s="19"/>
    </row>
  </sheetData>
  <mergeCells count="15">
    <mergeCell ref="H54:K54"/>
    <mergeCell ref="G60:G62"/>
    <mergeCell ref="H60:K62"/>
    <mergeCell ref="B37:E37"/>
    <mergeCell ref="H38:K38"/>
    <mergeCell ref="B41:E41"/>
    <mergeCell ref="B45:E45"/>
    <mergeCell ref="G47:G48"/>
    <mergeCell ref="H47:K48"/>
    <mergeCell ref="G2:G3"/>
    <mergeCell ref="H2:K3"/>
    <mergeCell ref="G13:G16"/>
    <mergeCell ref="H13:K16"/>
    <mergeCell ref="G28:G29"/>
    <mergeCell ref="H28:K29"/>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52148-7506-B546-ADF2-E1F7BB8B2568}">
  <dimension ref="A1"/>
  <sheetViews>
    <sheetView tabSelected="1" topLeftCell="A41" zoomScaleNormal="100" workbookViewId="0">
      <selection sqref="A1:XFD1048576"/>
    </sheetView>
  </sheetViews>
  <sheetFormatPr baseColWidth="10" defaultColWidth="10.83203125" defaultRowHeight="16" x14ac:dyDescent="0.2"/>
  <cols>
    <col min="1" max="16384" width="10.83203125" style="95"/>
  </cols>
  <sheetData/>
  <mergeCells count="1">
    <mergeCell ref="A1:XFD1048576"/>
  </mergeCells>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Sheet1</vt:lpstr>
      <vt:lpstr>Claims Data</vt:lpstr>
      <vt:lpstr>Exploratory Template</vt:lpstr>
      <vt:lpstr>Pure Premium Work</vt:lpstr>
      <vt:lpstr>Stress Testing</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 Aimee</dc:creator>
  <cp:lastModifiedBy>Duyệt Nguyễn</cp:lastModifiedBy>
  <dcterms:created xsi:type="dcterms:W3CDTF">2024-09-03T17:44:11Z</dcterms:created>
  <dcterms:modified xsi:type="dcterms:W3CDTF">2025-11-02T20:52:09Z</dcterms:modified>
</cp:coreProperties>
</file>